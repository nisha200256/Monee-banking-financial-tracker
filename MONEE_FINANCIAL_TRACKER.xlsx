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ffd36554a11803/Documents/"/>
    </mc:Choice>
  </mc:AlternateContent>
  <xr:revisionPtr revIDLastSave="1356" documentId="8_{2002F3F9-CC0B-4F70-8CA1-68292307081E}" xr6:coauthVersionLast="47" xr6:coauthVersionMax="47" xr10:uidLastSave="{5E3BE2D8-3B29-4532-9099-A399F68CBA41}"/>
  <bookViews>
    <workbookView xWindow="-108" yWindow="-108" windowWidth="23256" windowHeight="12456" activeTab="4" xr2:uid="{B34CB5EB-F4CE-4E8E-9D3D-92FAD9006C44}"/>
  </bookViews>
  <sheets>
    <sheet name="Raw Data" sheetId="1" r:id="rId1"/>
    <sheet name="Budgets vs Actuals" sheetId="2" r:id="rId2"/>
    <sheet name="KPI Dashboard" sheetId="3" r:id="rId3"/>
    <sheet name="Forecast Model" sheetId="4" r:id="rId4"/>
    <sheet name="Mgmt 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B16" i="5"/>
  <c r="D13" i="5"/>
  <c r="C13" i="5"/>
  <c r="B13" i="5"/>
  <c r="D7" i="5"/>
  <c r="C7" i="5"/>
  <c r="B7" i="5"/>
  <c r="D6" i="5"/>
  <c r="D8" i="5" s="1"/>
  <c r="D9" i="5" s="1"/>
  <c r="C6" i="5"/>
  <c r="B6" i="5"/>
  <c r="B8" i="5" s="1"/>
  <c r="B9" i="5" s="1"/>
  <c r="C25" i="4"/>
  <c r="C24" i="4"/>
  <c r="D24" i="4" s="1"/>
  <c r="E24" i="4" s="1"/>
  <c r="F24" i="4" s="1"/>
  <c r="C23" i="4"/>
  <c r="D23" i="4" s="1"/>
  <c r="C21" i="4"/>
  <c r="C20" i="4"/>
  <c r="D20" i="4" s="1"/>
  <c r="E20" i="4" s="1"/>
  <c r="F20" i="4" s="1"/>
  <c r="C19" i="4"/>
  <c r="D19" i="4" s="1"/>
  <c r="C17" i="4"/>
  <c r="C16" i="4"/>
  <c r="D16" i="4" s="1"/>
  <c r="E16" i="4" s="1"/>
  <c r="F16" i="4" s="1"/>
  <c r="C15" i="4"/>
  <c r="D15" i="4" s="1"/>
  <c r="D22" i="3"/>
  <c r="E22" i="3"/>
  <c r="F22" i="3"/>
  <c r="G22" i="3"/>
  <c r="H22" i="3"/>
  <c r="I22" i="3"/>
  <c r="J22" i="3"/>
  <c r="K22" i="3"/>
  <c r="L22" i="3"/>
  <c r="M22" i="3"/>
  <c r="N22" i="3"/>
  <c r="C22" i="3"/>
  <c r="D24" i="3"/>
  <c r="E24" i="3"/>
  <c r="F24" i="3"/>
  <c r="G24" i="3"/>
  <c r="H24" i="3"/>
  <c r="I24" i="3"/>
  <c r="J24" i="3"/>
  <c r="K24" i="3"/>
  <c r="L24" i="3"/>
  <c r="M24" i="3"/>
  <c r="N24" i="3"/>
  <c r="D23" i="3"/>
  <c r="E23" i="3"/>
  <c r="F23" i="3"/>
  <c r="G23" i="3"/>
  <c r="H23" i="3"/>
  <c r="I23" i="3"/>
  <c r="J23" i="3"/>
  <c r="K23" i="3"/>
  <c r="L23" i="3"/>
  <c r="M23" i="3"/>
  <c r="N23" i="3"/>
  <c r="C24" i="3"/>
  <c r="C23" i="3"/>
  <c r="E20" i="3"/>
  <c r="F20" i="3"/>
  <c r="G20" i="3"/>
  <c r="H20" i="3"/>
  <c r="I20" i="3"/>
  <c r="J20" i="3"/>
  <c r="K20" i="3"/>
  <c r="L20" i="3"/>
  <c r="M20" i="3"/>
  <c r="N20" i="3"/>
  <c r="E19" i="3"/>
  <c r="F19" i="3"/>
  <c r="G19" i="3"/>
  <c r="H19" i="3"/>
  <c r="I19" i="3"/>
  <c r="J19" i="3"/>
  <c r="K19" i="3"/>
  <c r="L19" i="3"/>
  <c r="M19" i="3"/>
  <c r="N19" i="3"/>
  <c r="E18" i="3"/>
  <c r="F18" i="3"/>
  <c r="G18" i="3"/>
  <c r="H18" i="3"/>
  <c r="I18" i="3"/>
  <c r="J18" i="3"/>
  <c r="K18" i="3"/>
  <c r="L18" i="3"/>
  <c r="M18" i="3"/>
  <c r="N18" i="3"/>
  <c r="D20" i="3"/>
  <c r="D19" i="3"/>
  <c r="D18" i="3"/>
  <c r="D16" i="3"/>
  <c r="E16" i="3"/>
  <c r="F16" i="3"/>
  <c r="G16" i="3"/>
  <c r="H16" i="3"/>
  <c r="I16" i="3"/>
  <c r="J16" i="3"/>
  <c r="K16" i="3"/>
  <c r="D15" i="5" s="1"/>
  <c r="L16" i="3"/>
  <c r="M16" i="3"/>
  <c r="N16" i="3"/>
  <c r="D15" i="3"/>
  <c r="E15" i="3"/>
  <c r="F15" i="3"/>
  <c r="G15" i="3"/>
  <c r="H15" i="3"/>
  <c r="I15" i="3"/>
  <c r="J15" i="3"/>
  <c r="K15" i="3"/>
  <c r="C15" i="5" s="1"/>
  <c r="L15" i="3"/>
  <c r="M15" i="3"/>
  <c r="N15" i="3"/>
  <c r="D14" i="3"/>
  <c r="E14" i="3"/>
  <c r="F14" i="3"/>
  <c r="G14" i="3"/>
  <c r="H14" i="3"/>
  <c r="I14" i="3"/>
  <c r="J14" i="3"/>
  <c r="K14" i="3"/>
  <c r="B15" i="5" s="1"/>
  <c r="L14" i="3"/>
  <c r="M14" i="3"/>
  <c r="N14" i="3"/>
  <c r="C16" i="3"/>
  <c r="C15" i="3"/>
  <c r="C14" i="3"/>
  <c r="D12" i="3"/>
  <c r="I12" i="3"/>
  <c r="J12" i="3"/>
  <c r="K12" i="3"/>
  <c r="L12" i="3"/>
  <c r="C12" i="3"/>
  <c r="D11" i="3"/>
  <c r="E11" i="3"/>
  <c r="F11" i="3"/>
  <c r="G11" i="3"/>
  <c r="H11" i="3"/>
  <c r="I11" i="3"/>
  <c r="J11" i="3"/>
  <c r="K11" i="3"/>
  <c r="D14" i="5" s="1"/>
  <c r="L11" i="3"/>
  <c r="M11" i="3"/>
  <c r="N11" i="3"/>
  <c r="C11" i="3"/>
  <c r="D10" i="3"/>
  <c r="E10" i="3"/>
  <c r="F10" i="3"/>
  <c r="G10" i="3"/>
  <c r="H10" i="3"/>
  <c r="I10" i="3"/>
  <c r="J10" i="3"/>
  <c r="K10" i="3"/>
  <c r="C14" i="5" s="1"/>
  <c r="L10" i="3"/>
  <c r="M10" i="3"/>
  <c r="N10" i="3"/>
  <c r="C10" i="3"/>
  <c r="D9" i="3"/>
  <c r="E9" i="3"/>
  <c r="F9" i="3"/>
  <c r="G9" i="3"/>
  <c r="H9" i="3"/>
  <c r="I9" i="3"/>
  <c r="J9" i="3"/>
  <c r="K9" i="3"/>
  <c r="B14" i="5" s="1"/>
  <c r="L9" i="3"/>
  <c r="M9" i="3"/>
  <c r="N9" i="3"/>
  <c r="C9" i="3"/>
  <c r="J7" i="3"/>
  <c r="K7" i="3"/>
  <c r="L7" i="3"/>
  <c r="M7" i="3"/>
  <c r="E6" i="3"/>
  <c r="F6" i="3"/>
  <c r="G6" i="3"/>
  <c r="H6" i="3"/>
  <c r="I6" i="3"/>
  <c r="J6" i="3"/>
  <c r="K6" i="3"/>
  <c r="L6" i="3"/>
  <c r="M6" i="3"/>
  <c r="N6" i="3"/>
  <c r="D6" i="3"/>
  <c r="E5" i="3"/>
  <c r="F5" i="3"/>
  <c r="G5" i="3"/>
  <c r="H5" i="3"/>
  <c r="I5" i="3"/>
  <c r="J5" i="3"/>
  <c r="K5" i="3"/>
  <c r="L5" i="3"/>
  <c r="M5" i="3"/>
  <c r="N5" i="3"/>
  <c r="D5" i="3"/>
  <c r="E4" i="3"/>
  <c r="F4" i="3"/>
  <c r="G4" i="3"/>
  <c r="H4" i="3"/>
  <c r="I4" i="3"/>
  <c r="J4" i="3"/>
  <c r="K4" i="3"/>
  <c r="L4" i="3"/>
  <c r="M4" i="3"/>
  <c r="N4" i="3"/>
  <c r="D4" i="3"/>
  <c r="D10" i="2"/>
  <c r="D12" i="2" s="1"/>
  <c r="D13" i="2" s="1"/>
  <c r="D14" i="2" s="1"/>
  <c r="E10" i="2"/>
  <c r="F10" i="2"/>
  <c r="G10" i="2"/>
  <c r="H10" i="2"/>
  <c r="I10" i="2"/>
  <c r="J10" i="2"/>
  <c r="K10" i="2"/>
  <c r="K12" i="2" s="1"/>
  <c r="K13" i="2" s="1"/>
  <c r="K14" i="2" s="1"/>
  <c r="L10" i="2"/>
  <c r="L12" i="2" s="1"/>
  <c r="L13" i="2" s="1"/>
  <c r="L14" i="2" s="1"/>
  <c r="M10" i="2"/>
  <c r="M12" i="2" s="1"/>
  <c r="M13" i="2" s="1"/>
  <c r="M14" i="2" s="1"/>
  <c r="N10" i="2"/>
  <c r="N12" i="2"/>
  <c r="N13" i="2" s="1"/>
  <c r="N14" i="2" s="1"/>
  <c r="D16" i="2"/>
  <c r="D18" i="2" s="1"/>
  <c r="D19" i="2" s="1"/>
  <c r="D20" i="2" s="1"/>
  <c r="E16" i="2"/>
  <c r="F16" i="2"/>
  <c r="F18" i="2" s="1"/>
  <c r="F19" i="2" s="1"/>
  <c r="F20" i="2" s="1"/>
  <c r="G16" i="2"/>
  <c r="G18" i="2" s="1"/>
  <c r="G19" i="2" s="1"/>
  <c r="G20" i="2" s="1"/>
  <c r="H16" i="2"/>
  <c r="H18" i="2" s="1"/>
  <c r="H19" i="2" s="1"/>
  <c r="H20" i="2" s="1"/>
  <c r="I16" i="2"/>
  <c r="I18" i="2" s="1"/>
  <c r="I19" i="2" s="1"/>
  <c r="I20" i="2" s="1"/>
  <c r="J16" i="2"/>
  <c r="J18" i="2" s="1"/>
  <c r="J19" i="2" s="1"/>
  <c r="J20" i="2" s="1"/>
  <c r="K16" i="2"/>
  <c r="K18" i="2" s="1"/>
  <c r="K19" i="2" s="1"/>
  <c r="K20" i="2" s="1"/>
  <c r="L16" i="2"/>
  <c r="L18" i="2" s="1"/>
  <c r="L19" i="2" s="1"/>
  <c r="L20" i="2" s="1"/>
  <c r="M16" i="2"/>
  <c r="M18" i="2" s="1"/>
  <c r="M19" i="2" s="1"/>
  <c r="M20" i="2" s="1"/>
  <c r="N16" i="2"/>
  <c r="N18" i="2" s="1"/>
  <c r="N19" i="2" s="1"/>
  <c r="N20" i="2" s="1"/>
  <c r="C16" i="2"/>
  <c r="C18" i="2" s="1"/>
  <c r="C19" i="2" s="1"/>
  <c r="C20" i="2" s="1"/>
  <c r="C10" i="2"/>
  <c r="C12" i="2" s="1"/>
  <c r="C13" i="2" s="1"/>
  <c r="C14" i="2" s="1"/>
  <c r="E18" i="2"/>
  <c r="E19" i="2" s="1"/>
  <c r="E20" i="2" s="1"/>
  <c r="E12" i="2"/>
  <c r="E13" i="2" s="1"/>
  <c r="E14" i="2" s="1"/>
  <c r="F12" i="2"/>
  <c r="F13" i="2" s="1"/>
  <c r="F14" i="2" s="1"/>
  <c r="G12" i="2"/>
  <c r="G13" i="2" s="1"/>
  <c r="G14" i="2" s="1"/>
  <c r="H12" i="2"/>
  <c r="H13" i="2" s="1"/>
  <c r="H14" i="2" s="1"/>
  <c r="I12" i="2"/>
  <c r="I13" i="2" s="1"/>
  <c r="I14" i="2" s="1"/>
  <c r="J12" i="2"/>
  <c r="J13" i="2" s="1"/>
  <c r="J14" i="2" s="1"/>
  <c r="J6" i="2"/>
  <c r="J7" i="2" s="1"/>
  <c r="J8" i="2" s="1"/>
  <c r="D4" i="2"/>
  <c r="D6" i="2" s="1"/>
  <c r="D7" i="2" s="1"/>
  <c r="D8" i="2" s="1"/>
  <c r="E4" i="2"/>
  <c r="E6" i="2" s="1"/>
  <c r="E7" i="2" s="1"/>
  <c r="E8" i="2" s="1"/>
  <c r="F4" i="2"/>
  <c r="F6" i="2" s="1"/>
  <c r="F7" i="2" s="1"/>
  <c r="F8" i="2" s="1"/>
  <c r="G4" i="2"/>
  <c r="G6" i="2" s="1"/>
  <c r="G7" i="2" s="1"/>
  <c r="G8" i="2" s="1"/>
  <c r="H4" i="2"/>
  <c r="H6" i="2" s="1"/>
  <c r="H7" i="2" s="1"/>
  <c r="H8" i="2" s="1"/>
  <c r="I4" i="2"/>
  <c r="I6" i="2" s="1"/>
  <c r="I7" i="2" s="1"/>
  <c r="I8" i="2" s="1"/>
  <c r="J4" i="2"/>
  <c r="K4" i="2"/>
  <c r="K6" i="2" s="1"/>
  <c r="K7" i="2" s="1"/>
  <c r="K8" i="2" s="1"/>
  <c r="L4" i="2"/>
  <c r="L6" i="2" s="1"/>
  <c r="L7" i="2" s="1"/>
  <c r="L8" i="2" s="1"/>
  <c r="M4" i="2"/>
  <c r="M6" i="2" s="1"/>
  <c r="M7" i="2" s="1"/>
  <c r="M8" i="2" s="1"/>
  <c r="N4" i="2"/>
  <c r="N6" i="2" s="1"/>
  <c r="N7" i="2" s="1"/>
  <c r="N8" i="2" s="1"/>
  <c r="C4" i="2"/>
  <c r="C6" i="2" s="1"/>
  <c r="C7" i="2" s="1"/>
  <c r="C8" i="2" s="1"/>
  <c r="N12" i="1"/>
  <c r="N12" i="3" s="1"/>
  <c r="M12" i="1"/>
  <c r="M12" i="3" s="1"/>
  <c r="L12" i="1"/>
  <c r="K12" i="1"/>
  <c r="J12" i="1"/>
  <c r="I12" i="1"/>
  <c r="H12" i="1"/>
  <c r="H12" i="3" s="1"/>
  <c r="G12" i="1"/>
  <c r="G12" i="3" s="1"/>
  <c r="F12" i="1"/>
  <c r="F12" i="3" s="1"/>
  <c r="E12" i="1"/>
  <c r="E12" i="3" s="1"/>
  <c r="D12" i="1"/>
  <c r="C12" i="1"/>
  <c r="N7" i="1"/>
  <c r="N7" i="3" s="1"/>
  <c r="M7" i="1"/>
  <c r="L7" i="1"/>
  <c r="K7" i="1"/>
  <c r="J7" i="1"/>
  <c r="I7" i="1"/>
  <c r="I7" i="3" s="1"/>
  <c r="H7" i="1"/>
  <c r="H7" i="3" s="1"/>
  <c r="G7" i="1"/>
  <c r="G7" i="3" s="1"/>
  <c r="F7" i="1"/>
  <c r="F7" i="3" s="1"/>
  <c r="E7" i="1"/>
  <c r="E7" i="3" s="1"/>
  <c r="D7" i="1"/>
  <c r="C7" i="1"/>
  <c r="D7" i="3" s="1"/>
  <c r="E19" i="4" l="1"/>
  <c r="D21" i="4"/>
  <c r="E23" i="4"/>
  <c r="D25" i="4"/>
  <c r="E15" i="4"/>
  <c r="D17" i="4"/>
  <c r="E7" i="5"/>
  <c r="E6" i="5"/>
  <c r="E8" i="5"/>
  <c r="E9" i="5" s="1"/>
  <c r="C8" i="5"/>
  <c r="C9" i="5" s="1"/>
  <c r="F15" i="4" l="1"/>
  <c r="F17" i="4" s="1"/>
  <c r="E17" i="4"/>
  <c r="F23" i="4"/>
  <c r="F25" i="4" s="1"/>
  <c r="E25" i="4"/>
  <c r="F19" i="4"/>
  <c r="F21" i="4" s="1"/>
  <c r="E21" i="4"/>
</calcChain>
</file>

<file path=xl/sharedStrings.xml><?xml version="1.0" encoding="utf-8"?>
<sst xmlns="http://schemas.openxmlformats.org/spreadsheetml/2006/main" count="153" uniqueCount="89">
  <si>
    <t>MONTHLY P&amp;L INPUTS | MONEE BANKING SEGMENT | FY2025</t>
  </si>
  <si>
    <t>METRIC</t>
  </si>
  <si>
    <t>MARKET</t>
  </si>
  <si>
    <t>REVENUE (SGD '000)</t>
  </si>
  <si>
    <t>Indonesia</t>
  </si>
  <si>
    <t>Philippines</t>
  </si>
  <si>
    <t>Vietnam</t>
  </si>
  <si>
    <t>Total</t>
  </si>
  <si>
    <t>OPERATING COST (SGD '000)</t>
  </si>
  <si>
    <t>ACTIVE USERS ('000)</t>
  </si>
  <si>
    <t>NPL RATE (%)</t>
  </si>
  <si>
    <t>BUDGETS VS ACTUALS - REVENUE VARIANCE | MONEE BANKING SEGEMENT | FY2025</t>
  </si>
  <si>
    <t>INDONESIA</t>
  </si>
  <si>
    <t>ACTUAL (SGD '000)</t>
  </si>
  <si>
    <t>BUDGET (SGD '000)</t>
  </si>
  <si>
    <t>VARIANCE (SGD '000)</t>
  </si>
  <si>
    <t>VARIANCE (%)</t>
  </si>
  <si>
    <t>FLAG</t>
  </si>
  <si>
    <t>PHILIPPINES</t>
  </si>
  <si>
    <t>VIETNAM</t>
  </si>
  <si>
    <t>KPI DASHBOARD - MONEE BANKING SEGMENT | FY2025</t>
  </si>
  <si>
    <t xml:space="preserve">KPI  </t>
  </si>
  <si>
    <t>KPI 1 - REVENUE MoM GROWTH (%)</t>
  </si>
  <si>
    <t>-</t>
  </si>
  <si>
    <t>TOTAL</t>
  </si>
  <si>
    <t>KPI 2 - COST-TO-INCOME-RATIO</t>
  </si>
  <si>
    <t xml:space="preserve">KPI 3 - NPL RATE </t>
  </si>
  <si>
    <t>KPI 4 - ACTIVE USER GROWTH MoM %</t>
  </si>
  <si>
    <t>KPI 5 - REVENUE PER ACTIVE USER (SGD '000)</t>
  </si>
  <si>
    <t xml:space="preserve">FORECAST MODEL - 3-MONTH ROLLING FORECAST (OCT-DEC 2025) | MONEE BANKING SEGMENT </t>
  </si>
  <si>
    <t>Actuals: Jan-Sep 2025 (linked from Raw Data)|Forecast Oct -Dec 2025 using adjustable growth assumptions</t>
  </si>
  <si>
    <t>NOV-25(F)</t>
  </si>
  <si>
    <t>OCT-25(F)</t>
  </si>
  <si>
    <t>DEC-25(F)</t>
  </si>
  <si>
    <t>ASSUMPTIONS - Yellow cells:change these to model different scenarios</t>
  </si>
  <si>
    <t>Revenue Growth Rate- Philippines</t>
  </si>
  <si>
    <t>Revenue Growth Rate- Vietnam</t>
  </si>
  <si>
    <t>Cost Growth Rate- all markets</t>
  </si>
  <si>
    <t>User Growth Rate- Indonesia</t>
  </si>
  <si>
    <t>User Growth Rate- Philippines</t>
  </si>
  <si>
    <t>User Growth Rate- Vietnam</t>
  </si>
  <si>
    <t>Revenue Growth Rate - Indonesia</t>
  </si>
  <si>
    <t>SEP-25(ACTUAL)</t>
  </si>
  <si>
    <t>FORECAST TABLE-REVENUE,COSTS &amp; GROSS PROFIT (SGD '000)</t>
  </si>
  <si>
    <t>Revenue (SGD '000)</t>
  </si>
  <si>
    <t>Costs (SGD '000)</t>
  </si>
  <si>
    <t>Gross Profit (SGD '000)</t>
  </si>
  <si>
    <t>MANAGEMENT REPORT - SEP-25 |MONEE BANKING SEGMENT | SEP-25</t>
  </si>
  <si>
    <t>Prepared by Financial Analyst-Banking Segment Distribution : Regional Finance Director,COO Office</t>
  </si>
  <si>
    <t>1. HEADLINE P&amp;L - SEPTEMBER 2025(SGD '000)</t>
  </si>
  <si>
    <t>Revenue</t>
  </si>
  <si>
    <t>Operating Costs</t>
  </si>
  <si>
    <t>Gross Profit</t>
  </si>
  <si>
    <t>Gross Margin %</t>
  </si>
  <si>
    <t>2.KPI SCOREBOARD - SEPTEMBER 2025</t>
  </si>
  <si>
    <t>KPI</t>
  </si>
  <si>
    <t>Revenue MoM Growth</t>
  </si>
  <si>
    <t>Cost-to-Income Ratio</t>
  </si>
  <si>
    <t>Active Users ('000)</t>
  </si>
  <si>
    <t>NPL Rate</t>
  </si>
  <si>
    <t>GROWTH</t>
  </si>
  <si>
    <t>TARGET</t>
  </si>
  <si>
    <t>3. FINANCE COMMENTARY - KEY OBSERVATIONS</t>
  </si>
  <si>
    <t>Revenue Performance</t>
  </si>
  <si>
    <t>All three markets delivered revenue above prior month. Indonesia remains the dominant market at 65% of total segment revenue. Vietnam showed the strongest MoM growth at 4.2%</t>
  </si>
  <si>
    <t>Cost Management</t>
  </si>
  <si>
    <t>Operating costs grew at a lower rate than revenue across all markets, resulting in margin improvement. Indonesia cost-to-income ratio improved to 59.1%,approaching the 55% long-term-target.</t>
  </si>
  <si>
    <t>Credit Quality</t>
  </si>
  <si>
    <t>NPL rates continue to trend downward across all markets,reflecting improved underwriting standards.Vietnam remains highest at 2.7% but is on a declining trajectory.</t>
  </si>
  <si>
    <t>User Growth</t>
  </si>
  <si>
    <t>Active user base reached 14,370 ('000)across three markets.Indonesia added approximately 250k users in September,the highest single-month addition in FY2025.</t>
  </si>
  <si>
    <t>Risks &amp; Watch Items</t>
  </si>
  <si>
    <t>⚠ Philippines revenue variance vs budget flagged.Vietnam NPL approaching 3%threshold-recommend close monitoring in Q4.</t>
  </si>
  <si>
    <t>4. NEXT STEPS &amp; ACTION ITEMS</t>
  </si>
  <si>
    <t>ACTION</t>
  </si>
  <si>
    <t>DESCRIPTION</t>
  </si>
  <si>
    <t>OWNER</t>
  </si>
  <si>
    <t>Budget Review</t>
  </si>
  <si>
    <t>NPL Deep-Dive</t>
  </si>
  <si>
    <t>Oct Close</t>
  </si>
  <si>
    <t>Q4 Forecast Update</t>
  </si>
  <si>
    <t>Philippines team to provide revised Q4 revenue forecast by 15 Oct</t>
  </si>
  <si>
    <t>Vietnam credit team to present NPL root cause analysis at Oct business review</t>
  </si>
  <si>
    <t>Month-end close to be completed by Nov 7; variance analysis due 10 Nov</t>
  </si>
  <si>
    <t>Update forecast model assumptions following Oct actuals</t>
  </si>
  <si>
    <t>Risk &amp; Finance - VN</t>
  </si>
  <si>
    <t>Finance Lead - PH</t>
  </si>
  <si>
    <t>Regional Finance</t>
  </si>
  <si>
    <t>Banking Segment FP&amp;A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</si>
</sst>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2"/>
      <color theme="3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4"/>
      <name val="Arial Unicode MS"/>
    </font>
    <font>
      <sz val="12"/>
      <color rgb="FF0061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9C0006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1" fillId="10" borderId="0" applyNumberFormat="0" applyBorder="0" applyAlignment="0" applyProtection="0"/>
    <xf numFmtId="0" fontId="6" fillId="11" borderId="0" applyNumberFormat="0" applyBorder="0" applyAlignment="0" applyProtection="0"/>
    <xf numFmtId="0" fontId="1" fillId="1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0" fillId="5" borderId="0" xfId="4" applyFont="1"/>
    <xf numFmtId="17" fontId="10" fillId="5" borderId="0" xfId="4" applyNumberFormat="1" applyFont="1"/>
    <xf numFmtId="17" fontId="10" fillId="5" borderId="0" xfId="4" applyNumberFormat="1" applyFont="1" applyAlignment="1">
      <alignment horizontal="center" vertical="center"/>
    </xf>
    <xf numFmtId="0" fontId="10" fillId="5" borderId="0" xfId="4" applyFont="1" applyAlignment="1">
      <alignment horizontal="center"/>
    </xf>
    <xf numFmtId="17" fontId="10" fillId="5" borderId="0" xfId="4" applyNumberFormat="1" applyFont="1" applyAlignment="1">
      <alignment horizontal="center"/>
    </xf>
    <xf numFmtId="10" fontId="0" fillId="0" borderId="0" xfId="0" applyNumberFormat="1"/>
    <xf numFmtId="164" fontId="13" fillId="8" borderId="0" xfId="7" applyNumberFormat="1" applyFont="1"/>
    <xf numFmtId="0" fontId="7" fillId="9" borderId="0" xfId="8" applyFont="1"/>
    <xf numFmtId="0" fontId="0" fillId="0" borderId="0" xfId="0" applyAlignment="1">
      <alignment horizontal="right" vertical="center"/>
    </xf>
    <xf numFmtId="0" fontId="12" fillId="0" borderId="0" xfId="0" applyFont="1"/>
    <xf numFmtId="0" fontId="15" fillId="0" borderId="0" xfId="0" applyFont="1"/>
    <xf numFmtId="0" fontId="16" fillId="0" borderId="0" xfId="0" applyFont="1"/>
    <xf numFmtId="0" fontId="7" fillId="12" borderId="0" xfId="11" applyFont="1"/>
    <xf numFmtId="10" fontId="12" fillId="0" borderId="0" xfId="0" applyNumberFormat="1" applyFont="1"/>
    <xf numFmtId="0" fontId="10" fillId="11" borderId="0" xfId="10" applyFont="1"/>
    <xf numFmtId="10" fontId="15" fillId="0" borderId="0" xfId="0" applyNumberFormat="1" applyFont="1"/>
    <xf numFmtId="9" fontId="15" fillId="0" borderId="0" xfId="0" applyNumberFormat="1" applyFont="1"/>
    <xf numFmtId="0" fontId="15" fillId="0" borderId="0" xfId="0" applyFont="1" applyAlignment="1">
      <alignment horizontal="right"/>
    </xf>
    <xf numFmtId="1" fontId="12" fillId="0" borderId="0" xfId="0" applyNumberFormat="1" applyFont="1"/>
    <xf numFmtId="0" fontId="17" fillId="2" borderId="0" xfId="1" applyFont="1"/>
    <xf numFmtId="1" fontId="17" fillId="2" borderId="0" xfId="1" applyNumberFormat="1" applyFont="1"/>
    <xf numFmtId="0" fontId="7" fillId="0" borderId="0" xfId="0" applyFont="1"/>
    <xf numFmtId="0" fontId="10" fillId="11" borderId="0" xfId="10" applyFont="1" applyBorder="1"/>
    <xf numFmtId="0" fontId="12" fillId="10" borderId="0" xfId="9" applyFont="1"/>
    <xf numFmtId="0" fontId="12" fillId="10" borderId="0" xfId="9" applyFont="1" applyAlignment="1">
      <alignment horizontal="center"/>
    </xf>
    <xf numFmtId="10" fontId="12" fillId="10" borderId="0" xfId="9" applyNumberFormat="1" applyFont="1"/>
    <xf numFmtId="0" fontId="12" fillId="10" borderId="0" xfId="9" applyFont="1" applyAlignment="1">
      <alignment horizontal="center" vertical="center"/>
    </xf>
    <xf numFmtId="2" fontId="12" fillId="10" borderId="0" xfId="9" applyNumberFormat="1" applyFont="1"/>
    <xf numFmtId="0" fontId="19" fillId="0" borderId="0" xfId="0" applyFont="1"/>
    <xf numFmtId="0" fontId="20" fillId="4" borderId="0" xfId="3" applyFont="1"/>
    <xf numFmtId="0" fontId="21" fillId="3" borderId="0" xfId="2" applyFont="1"/>
    <xf numFmtId="10" fontId="21" fillId="3" borderId="0" xfId="2" applyNumberFormat="1" applyFont="1"/>
    <xf numFmtId="0" fontId="19" fillId="10" borderId="0" xfId="9" quotePrefix="1" applyFont="1"/>
    <xf numFmtId="0" fontId="19" fillId="10" borderId="0" xfId="9" applyFont="1"/>
    <xf numFmtId="0" fontId="12" fillId="10" borderId="0" xfId="9" applyFont="1" applyBorder="1"/>
    <xf numFmtId="0" fontId="9" fillId="13" borderId="0" xfId="0" applyFont="1" applyFill="1" applyAlignment="1">
      <alignment horizontal="left"/>
    </xf>
    <xf numFmtId="0" fontId="10" fillId="11" borderId="0" xfId="10" applyFont="1" applyAlignment="1">
      <alignment horizont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top"/>
    </xf>
    <xf numFmtId="0" fontId="12" fillId="7" borderId="0" xfId="6" applyFont="1" applyAlignment="1">
      <alignment horizontal="left"/>
    </xf>
    <xf numFmtId="0" fontId="9" fillId="18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  <xf numFmtId="0" fontId="8" fillId="17" borderId="0" xfId="0" applyFont="1" applyFill="1" applyAlignment="1">
      <alignment horizontal="left"/>
    </xf>
    <xf numFmtId="0" fontId="18" fillId="17" borderId="0" xfId="0" applyFont="1" applyFill="1" applyAlignment="1">
      <alignment horizontal="left"/>
    </xf>
    <xf numFmtId="0" fontId="18" fillId="13" borderId="0" xfId="0" applyFont="1" applyFill="1" applyAlignment="1">
      <alignment vertical="top"/>
    </xf>
    <xf numFmtId="0" fontId="5" fillId="13" borderId="0" xfId="0" applyFont="1" applyFill="1" applyAlignment="1">
      <alignment vertical="top"/>
    </xf>
    <xf numFmtId="0" fontId="7" fillId="15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left"/>
    </xf>
    <xf numFmtId="0" fontId="7" fillId="15" borderId="0" xfId="5" applyFont="1" applyFill="1" applyAlignment="1">
      <alignment horizontal="left" vertical="top"/>
    </xf>
    <xf numFmtId="0" fontId="9" fillId="14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/>
    </xf>
    <xf numFmtId="0" fontId="7" fillId="6" borderId="0" xfId="5" applyFont="1" applyAlignment="1">
      <alignment horizontal="left"/>
    </xf>
    <xf numFmtId="0" fontId="9" fillId="17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7" fillId="16" borderId="0" xfId="0" applyFont="1" applyFill="1" applyAlignment="1">
      <alignment horizontal="left"/>
    </xf>
    <xf numFmtId="0" fontId="11" fillId="16" borderId="0" xfId="0" applyFont="1" applyFill="1" applyAlignment="1">
      <alignment horizontal="left"/>
    </xf>
    <xf numFmtId="0" fontId="7" fillId="16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/>
    </xf>
    <xf numFmtId="0" fontId="14" fillId="19" borderId="0" xfId="0" applyFont="1" applyFill="1" applyAlignment="1">
      <alignment horizontal="left"/>
    </xf>
    <xf numFmtId="0" fontId="7" fillId="16" borderId="0" xfId="8" applyFont="1" applyFill="1" applyAlignment="1">
      <alignment horizontal="left"/>
    </xf>
  </cellXfs>
  <cellStyles count="12">
    <cellStyle name="20% - Accent4" xfId="6" builtinId="42"/>
    <cellStyle name="20% - Accent5" xfId="9" builtinId="46"/>
    <cellStyle name="20% - Accent6" xfId="11" builtinId="50"/>
    <cellStyle name="60% - Accent1" xfId="5" builtinId="32"/>
    <cellStyle name="60% - Accent4" xfId="7" builtinId="44"/>
    <cellStyle name="Accent1" xfId="4" builtinId="29"/>
    <cellStyle name="Accent5" xfId="8" builtinId="45"/>
    <cellStyle name="Accent6" xfId="10" builtinId="4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4052-D622-4883-B2A3-6E1D99D1FC76}">
  <dimension ref="A1:O20"/>
  <sheetViews>
    <sheetView workbookViewId="0">
      <selection activeCell="C24" sqref="C24"/>
    </sheetView>
  </sheetViews>
  <sheetFormatPr defaultRowHeight="14.4"/>
  <cols>
    <col min="1" max="1" width="19.44140625" customWidth="1"/>
    <col min="2" max="2" width="18.5546875" customWidth="1"/>
    <col min="3" max="3" width="13.33203125" customWidth="1"/>
    <col min="4" max="4" width="15.44140625" customWidth="1"/>
    <col min="5" max="5" width="13.33203125" customWidth="1"/>
    <col min="6" max="6" width="12.88671875" customWidth="1"/>
    <col min="7" max="7" width="16" customWidth="1"/>
    <col min="8" max="8" width="12.77734375" customWidth="1"/>
    <col min="9" max="9" width="13.109375" customWidth="1"/>
    <col min="10" max="10" width="14.109375" customWidth="1"/>
    <col min="11" max="11" width="13.33203125" customWidth="1"/>
    <col min="12" max="12" width="12.6640625" customWidth="1"/>
    <col min="13" max="13" width="13" customWidth="1"/>
    <col min="14" max="14" width="15.44140625" customWidth="1"/>
  </cols>
  <sheetData>
    <row r="1" spans="1:15" ht="18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1"/>
    </row>
    <row r="2" spans="1:15" ht="15.6">
      <c r="A2" s="5" t="s">
        <v>1</v>
      </c>
      <c r="B2" s="5" t="s">
        <v>2</v>
      </c>
      <c r="C2" s="4">
        <v>45658</v>
      </c>
      <c r="D2" s="4">
        <v>45689</v>
      </c>
      <c r="E2" s="4">
        <v>45717</v>
      </c>
      <c r="F2" s="4">
        <v>45748</v>
      </c>
      <c r="G2" s="4">
        <v>45778</v>
      </c>
      <c r="H2" s="4">
        <v>45809</v>
      </c>
      <c r="I2" s="6">
        <v>45839</v>
      </c>
      <c r="J2" s="6">
        <v>45870</v>
      </c>
      <c r="K2" s="6">
        <v>45901</v>
      </c>
      <c r="L2" s="6">
        <v>45931</v>
      </c>
      <c r="M2" s="6">
        <v>45962</v>
      </c>
      <c r="N2" s="6">
        <v>45992</v>
      </c>
    </row>
    <row r="3" spans="1:15" ht="15.6">
      <c r="A3" s="51" t="s">
        <v>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5" ht="15.6">
      <c r="A4" s="36"/>
      <c r="B4" s="36" t="s">
        <v>4</v>
      </c>
      <c r="C4" s="25">
        <v>8200</v>
      </c>
      <c r="D4" s="25">
        <v>8450</v>
      </c>
      <c r="E4" s="25">
        <v>8700</v>
      </c>
      <c r="F4" s="25">
        <v>9100</v>
      </c>
      <c r="G4" s="25">
        <v>9400</v>
      </c>
      <c r="H4" s="25">
        <v>9800</v>
      </c>
      <c r="I4" s="25">
        <v>10200</v>
      </c>
      <c r="J4" s="25">
        <v>10600</v>
      </c>
      <c r="K4" s="25">
        <v>11000</v>
      </c>
      <c r="L4" s="25">
        <v>11400</v>
      </c>
      <c r="M4" s="25">
        <v>11900</v>
      </c>
      <c r="N4" s="25">
        <v>12400</v>
      </c>
    </row>
    <row r="5" spans="1:15" ht="15.6">
      <c r="A5" s="36"/>
      <c r="B5" s="36" t="s">
        <v>5</v>
      </c>
      <c r="C5" s="25">
        <v>3100</v>
      </c>
      <c r="D5" s="25">
        <v>3200</v>
      </c>
      <c r="E5" s="25">
        <v>3350</v>
      </c>
      <c r="F5" s="25">
        <v>3500</v>
      </c>
      <c r="G5" s="25">
        <v>3650</v>
      </c>
      <c r="H5" s="25">
        <v>3800</v>
      </c>
      <c r="I5" s="25">
        <v>3950</v>
      </c>
      <c r="J5" s="25">
        <v>4100</v>
      </c>
      <c r="K5" s="25">
        <v>4300</v>
      </c>
      <c r="L5" s="25">
        <v>4500</v>
      </c>
      <c r="M5" s="25">
        <v>4700</v>
      </c>
      <c r="N5" s="25">
        <v>4900</v>
      </c>
    </row>
    <row r="6" spans="1:15" ht="15.6">
      <c r="A6" s="36"/>
      <c r="B6" s="36" t="s">
        <v>6</v>
      </c>
      <c r="C6" s="25">
        <v>1800</v>
      </c>
      <c r="D6" s="25">
        <v>1850</v>
      </c>
      <c r="E6" s="25">
        <v>2000</v>
      </c>
      <c r="F6" s="25">
        <v>2000</v>
      </c>
      <c r="G6" s="25">
        <v>2100</v>
      </c>
      <c r="H6" s="25">
        <v>2200</v>
      </c>
      <c r="I6" s="25">
        <v>2300</v>
      </c>
      <c r="J6" s="25">
        <v>2400</v>
      </c>
      <c r="K6" s="25">
        <v>2500</v>
      </c>
      <c r="L6" s="25">
        <v>2600</v>
      </c>
      <c r="M6" s="25">
        <v>2700</v>
      </c>
      <c r="N6" s="25">
        <v>2850</v>
      </c>
    </row>
    <row r="7" spans="1:15" ht="15.6">
      <c r="A7" s="36"/>
      <c r="B7" s="36" t="s">
        <v>7</v>
      </c>
      <c r="C7" s="25">
        <f t="shared" ref="C7:N7" si="0">SUM(C4:C6)</f>
        <v>13100</v>
      </c>
      <c r="D7" s="25">
        <f t="shared" si="0"/>
        <v>13500</v>
      </c>
      <c r="E7" s="25">
        <f t="shared" si="0"/>
        <v>14050</v>
      </c>
      <c r="F7" s="25">
        <f t="shared" si="0"/>
        <v>14600</v>
      </c>
      <c r="G7" s="25">
        <f t="shared" si="0"/>
        <v>15150</v>
      </c>
      <c r="H7" s="25">
        <f t="shared" si="0"/>
        <v>15800</v>
      </c>
      <c r="I7" s="25">
        <f t="shared" si="0"/>
        <v>16450</v>
      </c>
      <c r="J7" s="25">
        <f t="shared" si="0"/>
        <v>17100</v>
      </c>
      <c r="K7" s="25">
        <f t="shared" si="0"/>
        <v>17800</v>
      </c>
      <c r="L7" s="25">
        <f t="shared" si="0"/>
        <v>18500</v>
      </c>
      <c r="M7" s="25">
        <f t="shared" si="0"/>
        <v>19300</v>
      </c>
      <c r="N7" s="25">
        <f t="shared" si="0"/>
        <v>20150</v>
      </c>
    </row>
    <row r="8" spans="1:15" ht="15.6">
      <c r="A8" s="49" t="s">
        <v>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5" ht="15.6">
      <c r="A9" s="25"/>
      <c r="B9" s="25" t="s">
        <v>4</v>
      </c>
      <c r="C9" s="25">
        <v>5300</v>
      </c>
      <c r="D9" s="25">
        <v>5400</v>
      </c>
      <c r="E9" s="25">
        <v>5500</v>
      </c>
      <c r="F9" s="25">
        <v>5700</v>
      </c>
      <c r="G9" s="25">
        <v>5800</v>
      </c>
      <c r="H9" s="25">
        <v>6000</v>
      </c>
      <c r="I9" s="25">
        <v>6200</v>
      </c>
      <c r="J9" s="25">
        <v>6400</v>
      </c>
      <c r="K9" s="25">
        <v>6500</v>
      </c>
      <c r="L9" s="25">
        <v>6600</v>
      </c>
      <c r="M9" s="25">
        <v>6800</v>
      </c>
      <c r="N9" s="25">
        <v>7000</v>
      </c>
    </row>
    <row r="10" spans="1:15" ht="15.6">
      <c r="A10" s="25"/>
      <c r="B10" s="25" t="s">
        <v>5</v>
      </c>
      <c r="C10" s="25">
        <v>2100</v>
      </c>
      <c r="D10" s="25">
        <v>2150</v>
      </c>
      <c r="E10" s="25">
        <v>2200</v>
      </c>
      <c r="F10" s="25">
        <v>2300</v>
      </c>
      <c r="G10" s="25">
        <v>2350</v>
      </c>
      <c r="H10" s="25">
        <v>2450</v>
      </c>
      <c r="I10" s="25">
        <v>2500</v>
      </c>
      <c r="J10" s="25">
        <v>2600</v>
      </c>
      <c r="K10" s="25">
        <v>2700</v>
      </c>
      <c r="L10" s="25">
        <v>2800</v>
      </c>
      <c r="M10" s="25">
        <v>2900</v>
      </c>
      <c r="N10" s="25">
        <v>3000</v>
      </c>
    </row>
    <row r="11" spans="1:15" ht="15.6">
      <c r="A11" s="25"/>
      <c r="B11" s="25" t="s">
        <v>6</v>
      </c>
      <c r="C11" s="25">
        <v>1300</v>
      </c>
      <c r="D11" s="25">
        <v>1320</v>
      </c>
      <c r="E11" s="25">
        <v>1350</v>
      </c>
      <c r="F11" s="25">
        <v>1400</v>
      </c>
      <c r="G11" s="25">
        <v>1450</v>
      </c>
      <c r="H11" s="25">
        <v>1500</v>
      </c>
      <c r="I11" s="25">
        <v>1550</v>
      </c>
      <c r="J11" s="25">
        <v>1600</v>
      </c>
      <c r="K11" s="25">
        <v>1650</v>
      </c>
      <c r="L11" s="25">
        <v>1700</v>
      </c>
      <c r="M11" s="25">
        <v>1750</v>
      </c>
      <c r="N11" s="25">
        <v>1820</v>
      </c>
    </row>
    <row r="12" spans="1:15" ht="15.6">
      <c r="A12" s="25"/>
      <c r="B12" s="25" t="s">
        <v>7</v>
      </c>
      <c r="C12" s="25">
        <f t="shared" ref="C12:N12" si="1">SUM(C9:C11)</f>
        <v>8700</v>
      </c>
      <c r="D12" s="25">
        <f t="shared" si="1"/>
        <v>8870</v>
      </c>
      <c r="E12" s="25">
        <f t="shared" si="1"/>
        <v>9050</v>
      </c>
      <c r="F12" s="25">
        <f t="shared" si="1"/>
        <v>9400</v>
      </c>
      <c r="G12" s="25">
        <f t="shared" si="1"/>
        <v>9600</v>
      </c>
      <c r="H12" s="25">
        <f t="shared" si="1"/>
        <v>9950</v>
      </c>
      <c r="I12" s="25">
        <f t="shared" si="1"/>
        <v>10250</v>
      </c>
      <c r="J12" s="25">
        <f t="shared" si="1"/>
        <v>10600</v>
      </c>
      <c r="K12" s="25">
        <f t="shared" si="1"/>
        <v>10850</v>
      </c>
      <c r="L12" s="25">
        <f t="shared" si="1"/>
        <v>11100</v>
      </c>
      <c r="M12" s="25">
        <f t="shared" si="1"/>
        <v>11450</v>
      </c>
      <c r="N12" s="25">
        <f t="shared" si="1"/>
        <v>11820</v>
      </c>
    </row>
    <row r="13" spans="1:15" ht="15.6">
      <c r="A13" s="50" t="s">
        <v>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5" ht="15.6">
      <c r="A14" s="25"/>
      <c r="B14" s="25" t="s">
        <v>4</v>
      </c>
      <c r="C14" s="25">
        <v>4200</v>
      </c>
      <c r="D14" s="25">
        <v>4350</v>
      </c>
      <c r="E14" s="25">
        <v>4500</v>
      </c>
      <c r="F14" s="25">
        <v>4700</v>
      </c>
      <c r="G14" s="25">
        <v>4900</v>
      </c>
      <c r="H14" s="25">
        <v>5100</v>
      </c>
      <c r="I14" s="25">
        <v>5350</v>
      </c>
      <c r="J14" s="25">
        <v>5600</v>
      </c>
      <c r="K14" s="25">
        <v>5850</v>
      </c>
      <c r="L14" s="25">
        <v>6100</v>
      </c>
      <c r="M14" s="25">
        <v>6400</v>
      </c>
      <c r="N14" s="25">
        <v>6700</v>
      </c>
    </row>
    <row r="15" spans="1:15" ht="15.6">
      <c r="A15" s="25"/>
      <c r="B15" s="25" t="s">
        <v>5</v>
      </c>
      <c r="C15" s="25">
        <v>1850</v>
      </c>
      <c r="D15" s="25">
        <v>1920</v>
      </c>
      <c r="E15" s="25">
        <v>2000</v>
      </c>
      <c r="F15" s="25">
        <v>2100</v>
      </c>
      <c r="G15" s="25">
        <v>2200</v>
      </c>
      <c r="H15" s="25">
        <v>2300</v>
      </c>
      <c r="I15" s="25">
        <v>2420</v>
      </c>
      <c r="J15" s="25">
        <v>2550</v>
      </c>
      <c r="K15" s="25">
        <v>2680</v>
      </c>
      <c r="L15" s="25">
        <v>2820</v>
      </c>
      <c r="M15" s="25">
        <v>2970</v>
      </c>
      <c r="N15" s="25">
        <v>3130</v>
      </c>
    </row>
    <row r="16" spans="1:15" ht="15.6">
      <c r="A16" s="25"/>
      <c r="B16" s="25" t="s">
        <v>6</v>
      </c>
      <c r="C16" s="25">
        <v>980</v>
      </c>
      <c r="D16" s="25">
        <v>1010</v>
      </c>
      <c r="E16" s="25">
        <v>1050</v>
      </c>
      <c r="F16" s="25">
        <v>1100</v>
      </c>
      <c r="G16" s="25">
        <v>1160</v>
      </c>
      <c r="H16" s="25">
        <v>1220</v>
      </c>
      <c r="I16" s="25">
        <v>1290</v>
      </c>
      <c r="J16" s="25">
        <v>1360</v>
      </c>
      <c r="K16" s="25">
        <v>1440</v>
      </c>
      <c r="L16" s="25">
        <v>1520</v>
      </c>
      <c r="M16" s="25">
        <v>1610</v>
      </c>
      <c r="N16" s="25">
        <v>1700</v>
      </c>
    </row>
    <row r="17" spans="1:14" ht="15.6">
      <c r="A17" s="50" t="s">
        <v>10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 ht="15.6">
      <c r="A18" s="25"/>
      <c r="B18" s="25" t="s">
        <v>4</v>
      </c>
      <c r="C18" s="27">
        <v>2.1000000000000001E-2</v>
      </c>
      <c r="D18" s="27">
        <v>0.02</v>
      </c>
      <c r="E18" s="27">
        <v>2.1000000000000001E-2</v>
      </c>
      <c r="F18" s="27">
        <v>2.1999999999999999E-2</v>
      </c>
      <c r="G18" s="27">
        <v>2.1000000000000001E-2</v>
      </c>
      <c r="H18" s="27">
        <v>0.02</v>
      </c>
      <c r="I18" s="27">
        <v>1.9E-2</v>
      </c>
      <c r="J18" s="27">
        <v>1.9E-2</v>
      </c>
      <c r="K18" s="27">
        <v>1.9E-2</v>
      </c>
      <c r="L18" s="27">
        <v>1.7999999999999999E-2</v>
      </c>
      <c r="M18" s="27">
        <v>1.7000000000000001E-2</v>
      </c>
      <c r="N18" s="27">
        <v>1.7000000000000001E-2</v>
      </c>
    </row>
    <row r="19" spans="1:14" ht="15.6">
      <c r="A19" s="25"/>
      <c r="B19" s="25" t="s">
        <v>5</v>
      </c>
      <c r="C19" s="27">
        <v>2.8000000000000001E-2</v>
      </c>
      <c r="D19" s="27">
        <v>2.7E-2</v>
      </c>
      <c r="E19" s="27">
        <v>2.7E-2</v>
      </c>
      <c r="F19" s="27">
        <v>2.5999999999999999E-2</v>
      </c>
      <c r="G19" s="27">
        <v>2.5000000000000001E-2</v>
      </c>
      <c r="H19" s="27">
        <v>2.5000000000000001E-2</v>
      </c>
      <c r="I19" s="27">
        <v>2.4E-2</v>
      </c>
      <c r="J19" s="27">
        <v>2.4E-2</v>
      </c>
      <c r="K19" s="27">
        <v>2.3E-2</v>
      </c>
      <c r="L19" s="27">
        <v>2.1999999999999999E-2</v>
      </c>
      <c r="M19" s="27">
        <v>2.1999999999999999E-2</v>
      </c>
      <c r="N19" s="27">
        <v>2.1000000000000001E-2</v>
      </c>
    </row>
    <row r="20" spans="1:14" ht="15.6">
      <c r="A20" s="25"/>
      <c r="B20" s="25" t="s">
        <v>6</v>
      </c>
      <c r="C20" s="27">
        <v>3.2000000000000001E-2</v>
      </c>
      <c r="D20" s="27">
        <v>3.1E-2</v>
      </c>
      <c r="E20" s="27">
        <v>0.03</v>
      </c>
      <c r="F20" s="27">
        <v>0.03</v>
      </c>
      <c r="G20" s="27">
        <v>2.9000000000000001E-2</v>
      </c>
      <c r="H20" s="27">
        <v>2.8000000000000001E-2</v>
      </c>
      <c r="I20" s="27">
        <v>2.8000000000000001E-2</v>
      </c>
      <c r="J20" s="27">
        <v>2.8000000000000001E-2</v>
      </c>
      <c r="K20" s="27">
        <v>2.7E-2</v>
      </c>
      <c r="L20" s="27">
        <v>2.5999999999999999E-2</v>
      </c>
      <c r="M20" s="27">
        <v>2.5000000000000001E-2</v>
      </c>
      <c r="N20" s="27">
        <v>2.5000000000000001E-2</v>
      </c>
    </row>
  </sheetData>
  <mergeCells count="5">
    <mergeCell ref="A8:N8"/>
    <mergeCell ref="A13:N13"/>
    <mergeCell ref="A17:N17"/>
    <mergeCell ref="A3:N3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0296-F4AD-4BE7-B890-820DE3B52911}">
  <dimension ref="A1:N20"/>
  <sheetViews>
    <sheetView workbookViewId="0">
      <selection activeCell="C26" sqref="C26"/>
    </sheetView>
  </sheetViews>
  <sheetFormatPr defaultRowHeight="14.4"/>
  <cols>
    <col min="1" max="1" width="17.21875" customWidth="1"/>
    <col min="2" max="2" width="24.33203125" customWidth="1"/>
    <col min="3" max="3" width="12.109375" customWidth="1"/>
    <col min="4" max="4" width="13.77734375" customWidth="1"/>
    <col min="5" max="5" width="14.44140625" customWidth="1"/>
    <col min="6" max="6" width="12.44140625" customWidth="1"/>
    <col min="7" max="7" width="12.33203125" customWidth="1"/>
    <col min="8" max="8" width="13.77734375" customWidth="1"/>
    <col min="9" max="9" width="12.109375" customWidth="1"/>
    <col min="10" max="10" width="12.77734375" customWidth="1"/>
    <col min="11" max="11" width="11.21875" customWidth="1"/>
    <col min="12" max="12" width="13.21875" customWidth="1"/>
    <col min="13" max="13" width="12.6640625" customWidth="1"/>
    <col min="14" max="14" width="16.88671875" customWidth="1"/>
  </cols>
  <sheetData>
    <row r="1" spans="1:14" ht="18">
      <c r="A1" s="53" t="s">
        <v>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5.6">
      <c r="A2" s="5" t="s">
        <v>2</v>
      </c>
      <c r="B2" s="5" t="s">
        <v>1</v>
      </c>
      <c r="C2" s="6">
        <v>45658</v>
      </c>
      <c r="D2" s="6">
        <v>45689</v>
      </c>
      <c r="E2" s="6">
        <v>45717</v>
      </c>
      <c r="F2" s="6">
        <v>45748</v>
      </c>
      <c r="G2" s="6">
        <v>45778</v>
      </c>
      <c r="H2" s="6">
        <v>45809</v>
      </c>
      <c r="I2" s="6">
        <v>45839</v>
      </c>
      <c r="J2" s="6">
        <v>45870</v>
      </c>
      <c r="K2" s="6">
        <v>45901</v>
      </c>
      <c r="L2" s="6">
        <v>45931</v>
      </c>
      <c r="M2" s="6">
        <v>45962</v>
      </c>
      <c r="N2" s="6">
        <v>45992</v>
      </c>
    </row>
    <row r="3" spans="1:14" ht="15.6">
      <c r="A3" s="54" t="s">
        <v>12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5.6">
      <c r="A4" s="25"/>
      <c r="B4" s="25" t="s">
        <v>13</v>
      </c>
      <c r="C4" s="30">
        <f>'Raw Data'!C4</f>
        <v>8200</v>
      </c>
      <c r="D4" s="30">
        <f>'Raw Data'!D4</f>
        <v>8450</v>
      </c>
      <c r="E4" s="30">
        <f>'Raw Data'!E4</f>
        <v>8700</v>
      </c>
      <c r="F4" s="30">
        <f>'Raw Data'!F4</f>
        <v>9100</v>
      </c>
      <c r="G4" s="30">
        <f>'Raw Data'!G4</f>
        <v>9400</v>
      </c>
      <c r="H4" s="30">
        <f>'Raw Data'!H4</f>
        <v>9800</v>
      </c>
      <c r="I4" s="30">
        <f>'Raw Data'!I4</f>
        <v>10200</v>
      </c>
      <c r="J4" s="30">
        <f>'Raw Data'!J4</f>
        <v>10600</v>
      </c>
      <c r="K4" s="30">
        <f>'Raw Data'!K4</f>
        <v>11000</v>
      </c>
      <c r="L4" s="30">
        <f>'Raw Data'!L4</f>
        <v>11400</v>
      </c>
      <c r="M4" s="30">
        <f>'Raw Data'!M4</f>
        <v>11900</v>
      </c>
      <c r="N4" s="30">
        <f>'Raw Data'!N4</f>
        <v>12400</v>
      </c>
    </row>
    <row r="5" spans="1:14" ht="15.6">
      <c r="A5" s="25"/>
      <c r="B5" s="25" t="s">
        <v>14</v>
      </c>
      <c r="C5" s="31">
        <v>8500</v>
      </c>
      <c r="D5" s="31">
        <v>8700</v>
      </c>
      <c r="E5" s="31">
        <v>8900</v>
      </c>
      <c r="F5" s="31">
        <v>9300</v>
      </c>
      <c r="G5" s="31">
        <v>9600</v>
      </c>
      <c r="H5" s="31">
        <v>10000</v>
      </c>
      <c r="I5" s="31">
        <v>10400</v>
      </c>
      <c r="J5" s="31">
        <v>10800</v>
      </c>
      <c r="K5" s="31">
        <v>11200</v>
      </c>
      <c r="L5" s="31">
        <v>11600</v>
      </c>
      <c r="M5" s="31">
        <v>12100</v>
      </c>
      <c r="N5" s="31">
        <v>12600</v>
      </c>
    </row>
    <row r="6" spans="1:14" ht="15.6">
      <c r="A6" s="25"/>
      <c r="B6" s="25" t="s">
        <v>15</v>
      </c>
      <c r="C6" s="32">
        <f>C4-C5</f>
        <v>-300</v>
      </c>
      <c r="D6" s="32">
        <f t="shared" ref="D6:N6" si="0">D4-D5</f>
        <v>-250</v>
      </c>
      <c r="E6" s="32">
        <f t="shared" si="0"/>
        <v>-200</v>
      </c>
      <c r="F6" s="32">
        <f t="shared" si="0"/>
        <v>-200</v>
      </c>
      <c r="G6" s="32">
        <f t="shared" si="0"/>
        <v>-200</v>
      </c>
      <c r="H6" s="32">
        <f t="shared" si="0"/>
        <v>-200</v>
      </c>
      <c r="I6" s="32">
        <f t="shared" si="0"/>
        <v>-200</v>
      </c>
      <c r="J6" s="32">
        <f t="shared" si="0"/>
        <v>-200</v>
      </c>
      <c r="K6" s="32">
        <f t="shared" si="0"/>
        <v>-200</v>
      </c>
      <c r="L6" s="32">
        <f t="shared" si="0"/>
        <v>-200</v>
      </c>
      <c r="M6" s="32">
        <f t="shared" si="0"/>
        <v>-200</v>
      </c>
      <c r="N6" s="32">
        <f t="shared" si="0"/>
        <v>-200</v>
      </c>
    </row>
    <row r="7" spans="1:14" ht="15.6">
      <c r="A7" s="25"/>
      <c r="B7" s="25" t="s">
        <v>16</v>
      </c>
      <c r="C7" s="33">
        <f>IFERROR(C6/C5,0)</f>
        <v>-3.5294117647058823E-2</v>
      </c>
      <c r="D7" s="33">
        <f t="shared" ref="D7:N7" si="1">IFERROR(D6/D5,0)</f>
        <v>-2.8735632183908046E-2</v>
      </c>
      <c r="E7" s="33">
        <f t="shared" si="1"/>
        <v>-2.247191011235955E-2</v>
      </c>
      <c r="F7" s="33">
        <f t="shared" si="1"/>
        <v>-2.1505376344086023E-2</v>
      </c>
      <c r="G7" s="33">
        <f t="shared" si="1"/>
        <v>-2.0833333333333332E-2</v>
      </c>
      <c r="H7" s="33">
        <f t="shared" si="1"/>
        <v>-0.02</v>
      </c>
      <c r="I7" s="33">
        <f t="shared" si="1"/>
        <v>-1.9230769230769232E-2</v>
      </c>
      <c r="J7" s="33">
        <f t="shared" si="1"/>
        <v>-1.8518518518518517E-2</v>
      </c>
      <c r="K7" s="33">
        <f t="shared" si="1"/>
        <v>-1.7857142857142856E-2</v>
      </c>
      <c r="L7" s="33">
        <f t="shared" si="1"/>
        <v>-1.7241379310344827E-2</v>
      </c>
      <c r="M7" s="33">
        <f t="shared" si="1"/>
        <v>-1.6528925619834711E-2</v>
      </c>
      <c r="N7" s="33">
        <f t="shared" si="1"/>
        <v>-1.5873015873015872E-2</v>
      </c>
    </row>
    <row r="8" spans="1:14" ht="15.6">
      <c r="A8" s="25"/>
      <c r="B8" s="25" t="s">
        <v>17</v>
      </c>
      <c r="C8" s="21" t="str">
        <f>IF(ABS(C7)&gt;0.05,"⚠ FLAG","OK")</f>
        <v>OK</v>
      </c>
      <c r="D8" s="21" t="str">
        <f t="shared" ref="D8:N8" si="2">IF(ABS(D7)&gt;0.05,"⚠ FLAG","OK")</f>
        <v>OK</v>
      </c>
      <c r="E8" s="21" t="str">
        <f t="shared" si="2"/>
        <v>OK</v>
      </c>
      <c r="F8" s="21" t="str">
        <f t="shared" si="2"/>
        <v>OK</v>
      </c>
      <c r="G8" s="21" t="str">
        <f t="shared" si="2"/>
        <v>OK</v>
      </c>
      <c r="H8" s="21" t="str">
        <f t="shared" si="2"/>
        <v>OK</v>
      </c>
      <c r="I8" s="21" t="str">
        <f t="shared" si="2"/>
        <v>OK</v>
      </c>
      <c r="J8" s="21" t="str">
        <f t="shared" si="2"/>
        <v>OK</v>
      </c>
      <c r="K8" s="21" t="str">
        <f t="shared" si="2"/>
        <v>OK</v>
      </c>
      <c r="L8" s="21" t="str">
        <f t="shared" si="2"/>
        <v>OK</v>
      </c>
      <c r="M8" s="21" t="str">
        <f t="shared" si="2"/>
        <v>OK</v>
      </c>
      <c r="N8" s="21" t="str">
        <f t="shared" si="2"/>
        <v>OK</v>
      </c>
    </row>
    <row r="9" spans="1:14" ht="15.6">
      <c r="A9" s="50" t="s">
        <v>18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5.6">
      <c r="A10" s="25"/>
      <c r="B10" s="25" t="s">
        <v>13</v>
      </c>
      <c r="C10" s="34">
        <f>'Raw Data'!C5</f>
        <v>3100</v>
      </c>
      <c r="D10" s="34">
        <f>'Raw Data'!D5</f>
        <v>3200</v>
      </c>
      <c r="E10" s="34">
        <f>'Raw Data'!E5</f>
        <v>3350</v>
      </c>
      <c r="F10" s="34">
        <f>'Raw Data'!F5</f>
        <v>3500</v>
      </c>
      <c r="G10" s="34">
        <f>'Raw Data'!G5</f>
        <v>3650</v>
      </c>
      <c r="H10" s="34">
        <f>'Raw Data'!H5</f>
        <v>3800</v>
      </c>
      <c r="I10" s="34">
        <f>'Raw Data'!I5</f>
        <v>3950</v>
      </c>
      <c r="J10" s="34">
        <f>'Raw Data'!J5</f>
        <v>4100</v>
      </c>
      <c r="K10" s="34">
        <f>'Raw Data'!K5</f>
        <v>4300</v>
      </c>
      <c r="L10" s="34">
        <f>'Raw Data'!L5</f>
        <v>4500</v>
      </c>
      <c r="M10" s="34">
        <f>'Raw Data'!M5</f>
        <v>4700</v>
      </c>
      <c r="N10" s="34">
        <f>'Raw Data'!N5</f>
        <v>4900</v>
      </c>
    </row>
    <row r="11" spans="1:14" ht="15.6">
      <c r="A11" s="25"/>
      <c r="B11" s="25" t="s">
        <v>14</v>
      </c>
      <c r="C11" s="31">
        <v>3200</v>
      </c>
      <c r="D11" s="31">
        <v>3300</v>
      </c>
      <c r="E11" s="31">
        <v>3450</v>
      </c>
      <c r="F11" s="31">
        <v>3600</v>
      </c>
      <c r="G11" s="31">
        <v>3750</v>
      </c>
      <c r="H11" s="31">
        <v>3900</v>
      </c>
      <c r="I11" s="31">
        <v>4050</v>
      </c>
      <c r="J11" s="31">
        <v>4200</v>
      </c>
      <c r="K11" s="31">
        <v>4400</v>
      </c>
      <c r="L11" s="31">
        <v>4600</v>
      </c>
      <c r="M11" s="31">
        <v>4800</v>
      </c>
      <c r="N11" s="31">
        <v>5000</v>
      </c>
    </row>
    <row r="12" spans="1:14" ht="15.6">
      <c r="A12" s="25"/>
      <c r="B12" s="25" t="s">
        <v>15</v>
      </c>
      <c r="C12" s="32">
        <f>C10-C11</f>
        <v>-100</v>
      </c>
      <c r="D12" s="32">
        <f t="shared" ref="D12:N12" si="3">D10-D11</f>
        <v>-100</v>
      </c>
      <c r="E12" s="32">
        <f t="shared" si="3"/>
        <v>-100</v>
      </c>
      <c r="F12" s="32">
        <f t="shared" si="3"/>
        <v>-100</v>
      </c>
      <c r="G12" s="32">
        <f t="shared" si="3"/>
        <v>-100</v>
      </c>
      <c r="H12" s="32">
        <f t="shared" si="3"/>
        <v>-100</v>
      </c>
      <c r="I12" s="32">
        <f t="shared" si="3"/>
        <v>-100</v>
      </c>
      <c r="J12" s="32">
        <f t="shared" si="3"/>
        <v>-100</v>
      </c>
      <c r="K12" s="32">
        <f t="shared" si="3"/>
        <v>-100</v>
      </c>
      <c r="L12" s="32">
        <f t="shared" si="3"/>
        <v>-100</v>
      </c>
      <c r="M12" s="32">
        <f t="shared" si="3"/>
        <v>-100</v>
      </c>
      <c r="N12" s="32">
        <f t="shared" si="3"/>
        <v>-100</v>
      </c>
    </row>
    <row r="13" spans="1:14" ht="15.6">
      <c r="A13" s="25"/>
      <c r="B13" s="25" t="s">
        <v>16</v>
      </c>
      <c r="C13" s="33">
        <f>IFERROR(C12/C11,0)</f>
        <v>-3.125E-2</v>
      </c>
      <c r="D13" s="33">
        <f t="shared" ref="D13:N13" si="4">IFERROR(D12/D11,0)</f>
        <v>-3.0303030303030304E-2</v>
      </c>
      <c r="E13" s="33">
        <f t="shared" si="4"/>
        <v>-2.8985507246376812E-2</v>
      </c>
      <c r="F13" s="33">
        <f t="shared" si="4"/>
        <v>-2.7777777777777776E-2</v>
      </c>
      <c r="G13" s="33">
        <f t="shared" si="4"/>
        <v>-2.6666666666666668E-2</v>
      </c>
      <c r="H13" s="33">
        <f t="shared" si="4"/>
        <v>-2.564102564102564E-2</v>
      </c>
      <c r="I13" s="33">
        <f t="shared" si="4"/>
        <v>-2.4691358024691357E-2</v>
      </c>
      <c r="J13" s="33">
        <f t="shared" si="4"/>
        <v>-2.3809523809523808E-2</v>
      </c>
      <c r="K13" s="33">
        <f t="shared" si="4"/>
        <v>-2.2727272727272728E-2</v>
      </c>
      <c r="L13" s="33">
        <f t="shared" si="4"/>
        <v>-2.1739130434782608E-2</v>
      </c>
      <c r="M13" s="33">
        <f t="shared" si="4"/>
        <v>-2.0833333333333332E-2</v>
      </c>
      <c r="N13" s="33">
        <f t="shared" si="4"/>
        <v>-0.02</v>
      </c>
    </row>
    <row r="14" spans="1:14" ht="15.6">
      <c r="A14" s="25"/>
      <c r="B14" s="25" t="s">
        <v>17</v>
      </c>
      <c r="C14" s="21" t="str">
        <f>IF(ABS(C13)&gt;0.05,"⚠ FLAG","OK")</f>
        <v>OK</v>
      </c>
      <c r="D14" s="21" t="str">
        <f t="shared" ref="D14:N14" si="5">IF(ABS(D13)&gt;0.05,"⚠ FLAG","OK")</f>
        <v>OK</v>
      </c>
      <c r="E14" s="21" t="str">
        <f t="shared" si="5"/>
        <v>OK</v>
      </c>
      <c r="F14" s="21" t="str">
        <f t="shared" si="5"/>
        <v>OK</v>
      </c>
      <c r="G14" s="21" t="str">
        <f t="shared" si="5"/>
        <v>OK</v>
      </c>
      <c r="H14" s="21" t="str">
        <f t="shared" si="5"/>
        <v>OK</v>
      </c>
      <c r="I14" s="21" t="str">
        <f t="shared" si="5"/>
        <v>OK</v>
      </c>
      <c r="J14" s="21" t="str">
        <f t="shared" si="5"/>
        <v>OK</v>
      </c>
      <c r="K14" s="21" t="str">
        <f t="shared" si="5"/>
        <v>OK</v>
      </c>
      <c r="L14" s="21" t="str">
        <f t="shared" si="5"/>
        <v>OK</v>
      </c>
      <c r="M14" s="21" t="str">
        <f t="shared" si="5"/>
        <v>OK</v>
      </c>
      <c r="N14" s="21" t="str">
        <f t="shared" si="5"/>
        <v>OK</v>
      </c>
    </row>
    <row r="15" spans="1:14" ht="15.6">
      <c r="A15" s="50" t="s">
        <v>19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5.6">
      <c r="A16" s="25"/>
      <c r="B16" s="25" t="s">
        <v>13</v>
      </c>
      <c r="C16" s="35">
        <f>'Raw Data'!C6</f>
        <v>1800</v>
      </c>
      <c r="D16" s="35">
        <f>'Raw Data'!D6</f>
        <v>1850</v>
      </c>
      <c r="E16" s="35">
        <f>'Raw Data'!E6</f>
        <v>2000</v>
      </c>
      <c r="F16" s="35">
        <f>'Raw Data'!F6</f>
        <v>2000</v>
      </c>
      <c r="G16" s="35">
        <f>'Raw Data'!G6</f>
        <v>2100</v>
      </c>
      <c r="H16" s="35">
        <f>'Raw Data'!H6</f>
        <v>2200</v>
      </c>
      <c r="I16" s="35">
        <f>'Raw Data'!I6</f>
        <v>2300</v>
      </c>
      <c r="J16" s="35">
        <f>'Raw Data'!J6</f>
        <v>2400</v>
      </c>
      <c r="K16" s="35">
        <f>'Raw Data'!K6</f>
        <v>2500</v>
      </c>
      <c r="L16" s="35">
        <f>'Raw Data'!L6</f>
        <v>2600</v>
      </c>
      <c r="M16" s="35">
        <f>'Raw Data'!M6</f>
        <v>2700</v>
      </c>
      <c r="N16" s="35">
        <f>'Raw Data'!N6</f>
        <v>2850</v>
      </c>
    </row>
    <row r="17" spans="1:14" ht="15.6">
      <c r="A17" s="25"/>
      <c r="B17" s="25" t="s">
        <v>14</v>
      </c>
      <c r="C17" s="31">
        <v>1850</v>
      </c>
      <c r="D17" s="31">
        <v>1900</v>
      </c>
      <c r="E17" s="31">
        <v>1970</v>
      </c>
      <c r="F17" s="31">
        <v>2050</v>
      </c>
      <c r="G17" s="31">
        <v>2150</v>
      </c>
      <c r="H17" s="31">
        <v>2250</v>
      </c>
      <c r="I17" s="31">
        <v>2350</v>
      </c>
      <c r="J17" s="31">
        <v>2450</v>
      </c>
      <c r="K17" s="31">
        <v>2550</v>
      </c>
      <c r="L17" s="31">
        <v>2650</v>
      </c>
      <c r="M17" s="31">
        <v>2750</v>
      </c>
      <c r="N17" s="31">
        <v>2900</v>
      </c>
    </row>
    <row r="18" spans="1:14" ht="15.6">
      <c r="A18" s="25"/>
      <c r="B18" s="25" t="s">
        <v>15</v>
      </c>
      <c r="C18" s="32">
        <f>C16-C17</f>
        <v>-50</v>
      </c>
      <c r="D18" s="32">
        <f t="shared" ref="D18:N18" si="6">D16-D17</f>
        <v>-50</v>
      </c>
      <c r="E18" s="32">
        <f t="shared" si="6"/>
        <v>30</v>
      </c>
      <c r="F18" s="32">
        <f t="shared" si="6"/>
        <v>-50</v>
      </c>
      <c r="G18" s="32">
        <f t="shared" si="6"/>
        <v>-50</v>
      </c>
      <c r="H18" s="32">
        <f t="shared" si="6"/>
        <v>-50</v>
      </c>
      <c r="I18" s="32">
        <f t="shared" si="6"/>
        <v>-50</v>
      </c>
      <c r="J18" s="32">
        <f t="shared" si="6"/>
        <v>-50</v>
      </c>
      <c r="K18" s="32">
        <f t="shared" si="6"/>
        <v>-50</v>
      </c>
      <c r="L18" s="32">
        <f t="shared" si="6"/>
        <v>-50</v>
      </c>
      <c r="M18" s="32">
        <f t="shared" si="6"/>
        <v>-50</v>
      </c>
      <c r="N18" s="32">
        <f t="shared" si="6"/>
        <v>-50</v>
      </c>
    </row>
    <row r="19" spans="1:14" ht="15.6">
      <c r="A19" s="25"/>
      <c r="B19" s="25" t="s">
        <v>16</v>
      </c>
      <c r="C19" s="33">
        <f>IFERROR(C18/C17,0)</f>
        <v>-2.7027027027027029E-2</v>
      </c>
      <c r="D19" s="33">
        <f t="shared" ref="D19:N19" si="7">IFERROR(D18/D17,0)</f>
        <v>-2.6315789473684209E-2</v>
      </c>
      <c r="E19" s="33">
        <f t="shared" si="7"/>
        <v>1.5228426395939087E-2</v>
      </c>
      <c r="F19" s="33">
        <f t="shared" si="7"/>
        <v>-2.4390243902439025E-2</v>
      </c>
      <c r="G19" s="33">
        <f t="shared" si="7"/>
        <v>-2.3255813953488372E-2</v>
      </c>
      <c r="H19" s="33">
        <f t="shared" si="7"/>
        <v>-2.2222222222222223E-2</v>
      </c>
      <c r="I19" s="33">
        <f t="shared" si="7"/>
        <v>-2.1276595744680851E-2</v>
      </c>
      <c r="J19" s="33">
        <f t="shared" si="7"/>
        <v>-2.0408163265306121E-2</v>
      </c>
      <c r="K19" s="33">
        <f t="shared" si="7"/>
        <v>-1.9607843137254902E-2</v>
      </c>
      <c r="L19" s="33">
        <f t="shared" si="7"/>
        <v>-1.8867924528301886E-2</v>
      </c>
      <c r="M19" s="33">
        <f t="shared" si="7"/>
        <v>-1.8181818181818181E-2</v>
      </c>
      <c r="N19" s="33">
        <f t="shared" si="7"/>
        <v>-1.7241379310344827E-2</v>
      </c>
    </row>
    <row r="20" spans="1:14" ht="15.6">
      <c r="A20" s="25"/>
      <c r="B20" s="25" t="s">
        <v>17</v>
      </c>
      <c r="C20" s="21" t="str">
        <f>IF(ABS(C19)&gt;0.05,"⚠ FLAG","OK")</f>
        <v>OK</v>
      </c>
      <c r="D20" s="21" t="str">
        <f t="shared" ref="D20:N20" si="8">IF(ABS(D19)&gt;0.05,"⚠ FLAG","OK")</f>
        <v>OK</v>
      </c>
      <c r="E20" s="21" t="str">
        <f t="shared" si="8"/>
        <v>OK</v>
      </c>
      <c r="F20" s="21" t="str">
        <f t="shared" si="8"/>
        <v>OK</v>
      </c>
      <c r="G20" s="21" t="str">
        <f t="shared" si="8"/>
        <v>OK</v>
      </c>
      <c r="H20" s="21" t="str">
        <f t="shared" si="8"/>
        <v>OK</v>
      </c>
      <c r="I20" s="21" t="str">
        <f t="shared" si="8"/>
        <v>OK</v>
      </c>
      <c r="J20" s="21" t="str">
        <f t="shared" si="8"/>
        <v>OK</v>
      </c>
      <c r="K20" s="21" t="str">
        <f t="shared" si="8"/>
        <v>OK</v>
      </c>
      <c r="L20" s="21" t="str">
        <f t="shared" si="8"/>
        <v>OK</v>
      </c>
      <c r="M20" s="21" t="str">
        <f t="shared" si="8"/>
        <v>OK</v>
      </c>
      <c r="N20" s="21" t="str">
        <f t="shared" si="8"/>
        <v>OK</v>
      </c>
    </row>
  </sheetData>
  <mergeCells count="4">
    <mergeCell ref="A1:N1"/>
    <mergeCell ref="A3:N3"/>
    <mergeCell ref="A9:N9"/>
    <mergeCell ref="A15:N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2531-4190-4382-8ECD-E95DAE21EFEF}">
  <dimension ref="A1:O24"/>
  <sheetViews>
    <sheetView workbookViewId="0">
      <selection activeCell="G28" sqref="G28"/>
    </sheetView>
  </sheetViews>
  <sheetFormatPr defaultRowHeight="14.4"/>
  <cols>
    <col min="1" max="1" width="18.6640625" customWidth="1"/>
    <col min="2" max="2" width="20" customWidth="1"/>
    <col min="3" max="3" width="12.77734375" customWidth="1"/>
    <col min="4" max="5" width="12.6640625" customWidth="1"/>
    <col min="6" max="6" width="14" customWidth="1"/>
    <col min="7" max="7" width="14.33203125" customWidth="1"/>
    <col min="8" max="8" width="14.109375" customWidth="1"/>
    <col min="9" max="9" width="13.33203125" customWidth="1"/>
    <col min="10" max="10" width="12.88671875" customWidth="1"/>
    <col min="11" max="11" width="12.21875" customWidth="1"/>
    <col min="12" max="12" width="12.109375" customWidth="1"/>
    <col min="13" max="13" width="15.33203125" customWidth="1"/>
    <col min="14" max="14" width="17.44140625" customWidth="1"/>
  </cols>
  <sheetData>
    <row r="1" spans="1:14" ht="18">
      <c r="A1" s="55" t="s">
        <v>20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5.6">
      <c r="A2" s="2" t="s">
        <v>21</v>
      </c>
      <c r="B2" s="2" t="s">
        <v>2</v>
      </c>
      <c r="C2" s="3">
        <v>45658</v>
      </c>
      <c r="D2" s="3">
        <v>45689</v>
      </c>
      <c r="E2" s="3">
        <v>45717</v>
      </c>
      <c r="F2" s="3">
        <v>45748</v>
      </c>
      <c r="G2" s="3">
        <v>45778</v>
      </c>
      <c r="H2" s="3">
        <v>45809</v>
      </c>
      <c r="I2" s="3">
        <v>45839</v>
      </c>
      <c r="J2" s="3">
        <v>45870</v>
      </c>
      <c r="K2" s="3">
        <v>45901</v>
      </c>
      <c r="L2" s="3">
        <v>45931</v>
      </c>
      <c r="M2" s="3">
        <v>45962</v>
      </c>
      <c r="N2" s="3">
        <v>45992</v>
      </c>
    </row>
    <row r="3" spans="1:14" ht="15.6">
      <c r="A3" s="57" t="s">
        <v>22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ht="15.6">
      <c r="A4" s="25"/>
      <c r="B4" s="25" t="s">
        <v>12</v>
      </c>
      <c r="C4" s="26" t="s">
        <v>23</v>
      </c>
      <c r="D4" s="27">
        <f>IFERROR(('Raw Data'!D4-'Raw Data'!C4)/'Raw Data'!C4,0)</f>
        <v>3.048780487804878E-2</v>
      </c>
      <c r="E4" s="27">
        <f>IFERROR(('Raw Data'!E4-'Raw Data'!D4)/'Raw Data'!D4,0)</f>
        <v>2.9585798816568046E-2</v>
      </c>
      <c r="F4" s="27">
        <f>IFERROR(('Raw Data'!F4-'Raw Data'!E4)/'Raw Data'!E4,0)</f>
        <v>4.5977011494252873E-2</v>
      </c>
      <c r="G4" s="27">
        <f>IFERROR(('Raw Data'!G4-'Raw Data'!F4)/'Raw Data'!F4,0)</f>
        <v>3.2967032967032968E-2</v>
      </c>
      <c r="H4" s="27">
        <f>IFERROR(('Raw Data'!H4-'Raw Data'!G4)/'Raw Data'!G4,0)</f>
        <v>4.2553191489361701E-2</v>
      </c>
      <c r="I4" s="27">
        <f>IFERROR(('Raw Data'!I4-'Raw Data'!H4)/'Raw Data'!H4,0)</f>
        <v>4.0816326530612242E-2</v>
      </c>
      <c r="J4" s="27">
        <f>IFERROR(('Raw Data'!J4-'Raw Data'!I4)/'Raw Data'!I4,0)</f>
        <v>3.9215686274509803E-2</v>
      </c>
      <c r="K4" s="27">
        <f>IFERROR(('Raw Data'!K4-'Raw Data'!J4)/'Raw Data'!J4,0)</f>
        <v>3.7735849056603772E-2</v>
      </c>
      <c r="L4" s="27">
        <f>IFERROR(('Raw Data'!L4-'Raw Data'!K4)/'Raw Data'!K4,0)</f>
        <v>3.6363636363636362E-2</v>
      </c>
      <c r="M4" s="27">
        <f>IFERROR(('Raw Data'!M4-'Raw Data'!L4)/'Raw Data'!L4,0)</f>
        <v>4.3859649122807015E-2</v>
      </c>
      <c r="N4" s="27">
        <f>IFERROR(('Raw Data'!N4-'Raw Data'!M4)/'Raw Data'!M4,0)</f>
        <v>4.2016806722689079E-2</v>
      </c>
    </row>
    <row r="5" spans="1:14" ht="15.6">
      <c r="A5" s="25"/>
      <c r="B5" s="25" t="s">
        <v>18</v>
      </c>
      <c r="C5" s="26" t="s">
        <v>23</v>
      </c>
      <c r="D5" s="27">
        <f>IFERROR(('Raw Data'!D5-'Raw Data'!C5)/'Raw Data'!C5,0)</f>
        <v>3.2258064516129031E-2</v>
      </c>
      <c r="E5" s="27">
        <f>IFERROR(('Raw Data'!E5-'Raw Data'!D5)/'Raw Data'!D5,0)</f>
        <v>4.6875E-2</v>
      </c>
      <c r="F5" s="27">
        <f>IFERROR(('Raw Data'!F5-'Raw Data'!E5)/'Raw Data'!E5,0)</f>
        <v>4.4776119402985072E-2</v>
      </c>
      <c r="G5" s="27">
        <f>IFERROR(('Raw Data'!G5-'Raw Data'!F5)/'Raw Data'!F5,0)</f>
        <v>4.2857142857142858E-2</v>
      </c>
      <c r="H5" s="27">
        <f>IFERROR(('Raw Data'!H5-'Raw Data'!G5)/'Raw Data'!G5,0)</f>
        <v>4.1095890410958902E-2</v>
      </c>
      <c r="I5" s="27">
        <f>IFERROR(('Raw Data'!I5-'Raw Data'!H5)/'Raw Data'!H5,0)</f>
        <v>3.9473684210526314E-2</v>
      </c>
      <c r="J5" s="27">
        <f>IFERROR(('Raw Data'!J5-'Raw Data'!I5)/'Raw Data'!I5,0)</f>
        <v>3.7974683544303799E-2</v>
      </c>
      <c r="K5" s="27">
        <f>IFERROR(('Raw Data'!K5-'Raw Data'!J5)/'Raw Data'!J5,0)</f>
        <v>4.878048780487805E-2</v>
      </c>
      <c r="L5" s="27">
        <f>IFERROR(('Raw Data'!L5-'Raw Data'!K5)/'Raw Data'!K5,0)</f>
        <v>4.6511627906976744E-2</v>
      </c>
      <c r="M5" s="27">
        <f>IFERROR(('Raw Data'!M5-'Raw Data'!L5)/'Raw Data'!L5,0)</f>
        <v>4.4444444444444446E-2</v>
      </c>
      <c r="N5" s="27">
        <f>IFERROR(('Raw Data'!N5-'Raw Data'!M5)/'Raw Data'!M5,0)</f>
        <v>4.2553191489361701E-2</v>
      </c>
    </row>
    <row r="6" spans="1:14" ht="15.6">
      <c r="A6" s="25"/>
      <c r="B6" s="25" t="s">
        <v>19</v>
      </c>
      <c r="C6" s="26" t="s">
        <v>23</v>
      </c>
      <c r="D6" s="27">
        <f>IFERROR(('Raw Data'!D6-'Raw Data'!C6)/'Raw Data'!C6,0)</f>
        <v>2.7777777777777776E-2</v>
      </c>
      <c r="E6" s="27">
        <f>IFERROR(('Raw Data'!E6-'Raw Data'!D6)/'Raw Data'!D6,0)</f>
        <v>8.1081081081081086E-2</v>
      </c>
      <c r="F6" s="27">
        <f>IFERROR(('Raw Data'!F6-'Raw Data'!E6)/'Raw Data'!E6,0)</f>
        <v>0</v>
      </c>
      <c r="G6" s="27">
        <f>IFERROR(('Raw Data'!G6-'Raw Data'!F6)/'Raw Data'!F6,0)</f>
        <v>0.05</v>
      </c>
      <c r="H6" s="27">
        <f>IFERROR(('Raw Data'!H6-'Raw Data'!G6)/'Raw Data'!G6,0)</f>
        <v>4.7619047619047616E-2</v>
      </c>
      <c r="I6" s="27">
        <f>IFERROR(('Raw Data'!I6-'Raw Data'!H6)/'Raw Data'!H6,0)</f>
        <v>4.5454545454545456E-2</v>
      </c>
      <c r="J6" s="27">
        <f>IFERROR(('Raw Data'!J6-'Raw Data'!I6)/'Raw Data'!I6,0)</f>
        <v>4.3478260869565216E-2</v>
      </c>
      <c r="K6" s="27">
        <f>IFERROR(('Raw Data'!K6-'Raw Data'!J6)/'Raw Data'!J6,0)</f>
        <v>4.1666666666666664E-2</v>
      </c>
      <c r="L6" s="27">
        <f>IFERROR(('Raw Data'!L6-'Raw Data'!K6)/'Raw Data'!K6,0)</f>
        <v>0.04</v>
      </c>
      <c r="M6" s="27">
        <f>IFERROR(('Raw Data'!M6-'Raw Data'!L6)/'Raw Data'!L6,0)</f>
        <v>3.8461538461538464E-2</v>
      </c>
      <c r="N6" s="27">
        <f>IFERROR(('Raw Data'!N6-'Raw Data'!M6)/'Raw Data'!M6,0)</f>
        <v>5.5555555555555552E-2</v>
      </c>
    </row>
    <row r="7" spans="1:14" ht="15.6">
      <c r="A7" s="25"/>
      <c r="B7" s="25" t="s">
        <v>24</v>
      </c>
      <c r="C7" s="26" t="s">
        <v>23</v>
      </c>
      <c r="D7" s="27">
        <f>IFERROR(('Raw Data'!D7-'Raw Data'!C7)/'Raw Data'!C7,0)</f>
        <v>3.0534351145038167E-2</v>
      </c>
      <c r="E7" s="27">
        <f>IFERROR(('Raw Data'!E7-'Raw Data'!D7)/'Raw Data'!D7,0)</f>
        <v>4.0740740740740744E-2</v>
      </c>
      <c r="F7" s="27">
        <f>IFERROR(('Raw Data'!F7-'Raw Data'!E7)/'Raw Data'!E7,0)</f>
        <v>3.9145907473309607E-2</v>
      </c>
      <c r="G7" s="27">
        <f>IFERROR(('Raw Data'!G7-'Raw Data'!F7)/'Raw Data'!F7,0)</f>
        <v>3.7671232876712327E-2</v>
      </c>
      <c r="H7" s="27">
        <f>IFERROR(('Raw Data'!H7-'Raw Data'!G7)/'Raw Data'!G7,0)</f>
        <v>4.2904290429042903E-2</v>
      </c>
      <c r="I7" s="27">
        <f>IFERROR(('Raw Data'!I7-'Raw Data'!H7)/'Raw Data'!H7,0)</f>
        <v>4.1139240506329111E-2</v>
      </c>
      <c r="J7" s="27">
        <f>IFERROR(('Raw Data'!J7-'Raw Data'!I7)/'Raw Data'!I7,0)</f>
        <v>3.9513677811550151E-2</v>
      </c>
      <c r="K7" s="27">
        <f>IFERROR(('Raw Data'!K7-'Raw Data'!J7)/'Raw Data'!J7,0)</f>
        <v>4.0935672514619881E-2</v>
      </c>
      <c r="L7" s="27">
        <f>IFERROR(('Raw Data'!L7-'Raw Data'!K7)/'Raw Data'!K7,0)</f>
        <v>3.9325842696629212E-2</v>
      </c>
      <c r="M7" s="27">
        <f>IFERROR(('Raw Data'!M7-'Raw Data'!L7)/'Raw Data'!L7,0)</f>
        <v>4.3243243243243246E-2</v>
      </c>
      <c r="N7" s="27">
        <f>IFERROR(('Raw Data'!N7-'Raw Data'!M7)/'Raw Data'!M7,0)</f>
        <v>4.4041450777202069E-2</v>
      </c>
    </row>
    <row r="8" spans="1:14" ht="15.6">
      <c r="A8" s="57" t="s">
        <v>25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 spans="1:14" ht="15.6">
      <c r="A9" s="25"/>
      <c r="B9" s="25" t="s">
        <v>12</v>
      </c>
      <c r="C9" s="27">
        <f>IFERROR('Raw Data'!C9/'Raw Data'!C4,0)</f>
        <v>0.64634146341463417</v>
      </c>
      <c r="D9" s="27">
        <f>IFERROR('Raw Data'!D9/'Raw Data'!D4,0)</f>
        <v>0.63905325443786987</v>
      </c>
      <c r="E9" s="27">
        <f>IFERROR('Raw Data'!E9/'Raw Data'!E4,0)</f>
        <v>0.63218390804597702</v>
      </c>
      <c r="F9" s="27">
        <f>IFERROR('Raw Data'!F9/'Raw Data'!F4,0)</f>
        <v>0.62637362637362637</v>
      </c>
      <c r="G9" s="27">
        <f>IFERROR('Raw Data'!G9/'Raw Data'!G4,0)</f>
        <v>0.61702127659574468</v>
      </c>
      <c r="H9" s="27">
        <f>IFERROR('Raw Data'!H9/'Raw Data'!H4,0)</f>
        <v>0.61224489795918369</v>
      </c>
      <c r="I9" s="27">
        <f>IFERROR('Raw Data'!I9/'Raw Data'!I4,0)</f>
        <v>0.60784313725490191</v>
      </c>
      <c r="J9" s="27">
        <f>IFERROR('Raw Data'!J9/'Raw Data'!J4,0)</f>
        <v>0.60377358490566035</v>
      </c>
      <c r="K9" s="27">
        <f>IFERROR('Raw Data'!K9/'Raw Data'!K4,0)</f>
        <v>0.59090909090909094</v>
      </c>
      <c r="L9" s="27">
        <f>IFERROR('Raw Data'!L9/'Raw Data'!L4,0)</f>
        <v>0.57894736842105265</v>
      </c>
      <c r="M9" s="27">
        <f>IFERROR('Raw Data'!M9/'Raw Data'!M4,0)</f>
        <v>0.5714285714285714</v>
      </c>
      <c r="N9" s="27">
        <f>IFERROR('Raw Data'!N9/'Raw Data'!N4,0)</f>
        <v>0.56451612903225812</v>
      </c>
    </row>
    <row r="10" spans="1:14" ht="15.6">
      <c r="A10" s="25"/>
      <c r="B10" s="25" t="s">
        <v>18</v>
      </c>
      <c r="C10" s="27">
        <f>IFERROR('Raw Data'!C10/'Raw Data'!C5,0)</f>
        <v>0.67741935483870963</v>
      </c>
      <c r="D10" s="27">
        <f>IFERROR('Raw Data'!D10/'Raw Data'!D5,0)</f>
        <v>0.671875</v>
      </c>
      <c r="E10" s="27">
        <f>IFERROR('Raw Data'!E10/'Raw Data'!E5,0)</f>
        <v>0.65671641791044777</v>
      </c>
      <c r="F10" s="27">
        <f>IFERROR('Raw Data'!F10/'Raw Data'!F5,0)</f>
        <v>0.65714285714285714</v>
      </c>
      <c r="G10" s="27">
        <f>IFERROR('Raw Data'!G10/'Raw Data'!G5,0)</f>
        <v>0.64383561643835618</v>
      </c>
      <c r="H10" s="27">
        <f>IFERROR('Raw Data'!H10/'Raw Data'!H5,0)</f>
        <v>0.64473684210526316</v>
      </c>
      <c r="I10" s="27">
        <f>IFERROR('Raw Data'!I10/'Raw Data'!I5,0)</f>
        <v>0.63291139240506333</v>
      </c>
      <c r="J10" s="27">
        <f>IFERROR('Raw Data'!J10/'Raw Data'!J5,0)</f>
        <v>0.63414634146341464</v>
      </c>
      <c r="K10" s="27">
        <f>IFERROR('Raw Data'!K10/'Raw Data'!K5,0)</f>
        <v>0.62790697674418605</v>
      </c>
      <c r="L10" s="27">
        <f>IFERROR('Raw Data'!L10/'Raw Data'!L5,0)</f>
        <v>0.62222222222222223</v>
      </c>
      <c r="M10" s="27">
        <f>IFERROR('Raw Data'!M10/'Raw Data'!M5,0)</f>
        <v>0.61702127659574468</v>
      </c>
      <c r="N10" s="27">
        <f>IFERROR('Raw Data'!N10/'Raw Data'!N5,0)</f>
        <v>0.61224489795918369</v>
      </c>
    </row>
    <row r="11" spans="1:14" ht="15.6">
      <c r="A11" s="25"/>
      <c r="B11" s="25" t="s">
        <v>19</v>
      </c>
      <c r="C11" s="27">
        <f>IFERROR('Raw Data'!C11/'Raw Data'!C6,0)</f>
        <v>0.72222222222222221</v>
      </c>
      <c r="D11" s="27">
        <f>IFERROR('Raw Data'!D11/'Raw Data'!D6,0)</f>
        <v>0.71351351351351355</v>
      </c>
      <c r="E11" s="27">
        <f>IFERROR('Raw Data'!E11/'Raw Data'!E6,0)</f>
        <v>0.67500000000000004</v>
      </c>
      <c r="F11" s="27">
        <f>IFERROR('Raw Data'!F11/'Raw Data'!F6,0)</f>
        <v>0.7</v>
      </c>
      <c r="G11" s="27">
        <f>IFERROR('Raw Data'!G11/'Raw Data'!G6,0)</f>
        <v>0.69047619047619047</v>
      </c>
      <c r="H11" s="27">
        <f>IFERROR('Raw Data'!H11/'Raw Data'!H6,0)</f>
        <v>0.68181818181818177</v>
      </c>
      <c r="I11" s="27">
        <f>IFERROR('Raw Data'!I11/'Raw Data'!I6,0)</f>
        <v>0.67391304347826086</v>
      </c>
      <c r="J11" s="27">
        <f>IFERROR('Raw Data'!J11/'Raw Data'!J6,0)</f>
        <v>0.66666666666666663</v>
      </c>
      <c r="K11" s="27">
        <f>IFERROR('Raw Data'!K11/'Raw Data'!K6,0)</f>
        <v>0.66</v>
      </c>
      <c r="L11" s="27">
        <f>IFERROR('Raw Data'!L11/'Raw Data'!L6,0)</f>
        <v>0.65384615384615385</v>
      </c>
      <c r="M11" s="27">
        <f>IFERROR('Raw Data'!M11/'Raw Data'!M6,0)</f>
        <v>0.64814814814814814</v>
      </c>
      <c r="N11" s="27">
        <f>IFERROR('Raw Data'!N11/'Raw Data'!N6,0)</f>
        <v>0.63859649122807016</v>
      </c>
    </row>
    <row r="12" spans="1:14" ht="15.6">
      <c r="A12" s="25"/>
      <c r="B12" s="25" t="s">
        <v>24</v>
      </c>
      <c r="C12" s="27">
        <f>IFERROR('Raw Data'!C12/'Raw Data'!C7,0)</f>
        <v>0.66412213740458015</v>
      </c>
      <c r="D12" s="27">
        <f>IFERROR('Raw Data'!D12/'Raw Data'!D7,0)</f>
        <v>0.65703703703703709</v>
      </c>
      <c r="E12" s="27">
        <f>IFERROR('Raw Data'!E12/'Raw Data'!E7,0)</f>
        <v>0.64412811387900359</v>
      </c>
      <c r="F12" s="27">
        <f>IFERROR('Raw Data'!F12/'Raw Data'!F7,0)</f>
        <v>0.64383561643835618</v>
      </c>
      <c r="G12" s="27">
        <f>IFERROR('Raw Data'!G12/'Raw Data'!G7,0)</f>
        <v>0.63366336633663367</v>
      </c>
      <c r="H12" s="27">
        <f>IFERROR('Raw Data'!H12/'Raw Data'!H7,0)</f>
        <v>0.629746835443038</v>
      </c>
      <c r="I12" s="27">
        <f>IFERROR('Raw Data'!I12/'Raw Data'!I7,0)</f>
        <v>0.62310030395136773</v>
      </c>
      <c r="J12" s="27">
        <f>IFERROR('Raw Data'!J12/'Raw Data'!J7,0)</f>
        <v>0.61988304093567248</v>
      </c>
      <c r="K12" s="27">
        <f>IFERROR('Raw Data'!K12/'Raw Data'!K7,0)</f>
        <v>0.6095505617977528</v>
      </c>
      <c r="L12" s="27">
        <f>IFERROR('Raw Data'!L12/'Raw Data'!L7,0)</f>
        <v>0.6</v>
      </c>
      <c r="M12" s="27">
        <f>IFERROR('Raw Data'!M12/'Raw Data'!M7,0)</f>
        <v>0.59326424870466321</v>
      </c>
      <c r="N12" s="27">
        <f>IFERROR('Raw Data'!N12/'Raw Data'!N7,0)</f>
        <v>0.58660049627791566</v>
      </c>
    </row>
    <row r="13" spans="1:14" ht="15.6">
      <c r="A13" s="57" t="s">
        <v>26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14" ht="15.6">
      <c r="A14" s="25"/>
      <c r="B14" s="25" t="s">
        <v>12</v>
      </c>
      <c r="C14" s="27">
        <f>'Raw Data'!C18</f>
        <v>2.1000000000000001E-2</v>
      </c>
      <c r="D14" s="27">
        <f>'Raw Data'!D18</f>
        <v>0.02</v>
      </c>
      <c r="E14" s="27">
        <f>'Raw Data'!E18</f>
        <v>2.1000000000000001E-2</v>
      </c>
      <c r="F14" s="27">
        <f>'Raw Data'!F18</f>
        <v>2.1999999999999999E-2</v>
      </c>
      <c r="G14" s="27">
        <f>'Raw Data'!G18</f>
        <v>2.1000000000000001E-2</v>
      </c>
      <c r="H14" s="27">
        <f>'Raw Data'!H18</f>
        <v>0.02</v>
      </c>
      <c r="I14" s="27">
        <f>'Raw Data'!I18</f>
        <v>1.9E-2</v>
      </c>
      <c r="J14" s="27">
        <f>'Raw Data'!J18</f>
        <v>1.9E-2</v>
      </c>
      <c r="K14" s="27">
        <f>'Raw Data'!K18</f>
        <v>1.9E-2</v>
      </c>
      <c r="L14" s="27">
        <f>'Raw Data'!L18</f>
        <v>1.7999999999999999E-2</v>
      </c>
      <c r="M14" s="27">
        <f>'Raw Data'!M18</f>
        <v>1.7000000000000001E-2</v>
      </c>
      <c r="N14" s="27">
        <f>'Raw Data'!N18</f>
        <v>1.7000000000000001E-2</v>
      </c>
    </row>
    <row r="15" spans="1:14" ht="15.6">
      <c r="A15" s="25"/>
      <c r="B15" s="25" t="s">
        <v>18</v>
      </c>
      <c r="C15" s="27">
        <f>'Raw Data'!C19</f>
        <v>2.8000000000000001E-2</v>
      </c>
      <c r="D15" s="27">
        <f>'Raw Data'!D19</f>
        <v>2.7E-2</v>
      </c>
      <c r="E15" s="27">
        <f>'Raw Data'!E19</f>
        <v>2.7E-2</v>
      </c>
      <c r="F15" s="27">
        <f>'Raw Data'!F19</f>
        <v>2.5999999999999999E-2</v>
      </c>
      <c r="G15" s="27">
        <f>'Raw Data'!G19</f>
        <v>2.5000000000000001E-2</v>
      </c>
      <c r="H15" s="27">
        <f>'Raw Data'!H19</f>
        <v>2.5000000000000001E-2</v>
      </c>
      <c r="I15" s="27">
        <f>'Raw Data'!I19</f>
        <v>2.4E-2</v>
      </c>
      <c r="J15" s="27">
        <f>'Raw Data'!J19</f>
        <v>2.4E-2</v>
      </c>
      <c r="K15" s="27">
        <f>'Raw Data'!K19</f>
        <v>2.3E-2</v>
      </c>
      <c r="L15" s="27">
        <f>'Raw Data'!L19</f>
        <v>2.1999999999999999E-2</v>
      </c>
      <c r="M15" s="27">
        <f>'Raw Data'!M19</f>
        <v>2.1999999999999999E-2</v>
      </c>
      <c r="N15" s="27">
        <f>'Raw Data'!N19</f>
        <v>2.1000000000000001E-2</v>
      </c>
    </row>
    <row r="16" spans="1:14" ht="15.6">
      <c r="A16" s="25"/>
      <c r="B16" s="25" t="s">
        <v>19</v>
      </c>
      <c r="C16" s="27">
        <f>'Raw Data'!C20</f>
        <v>3.2000000000000001E-2</v>
      </c>
      <c r="D16" s="27">
        <f>'Raw Data'!D20</f>
        <v>3.1E-2</v>
      </c>
      <c r="E16" s="27">
        <f>'Raw Data'!E20</f>
        <v>0.03</v>
      </c>
      <c r="F16" s="27">
        <f>'Raw Data'!F20</f>
        <v>0.03</v>
      </c>
      <c r="G16" s="27">
        <f>'Raw Data'!G20</f>
        <v>2.9000000000000001E-2</v>
      </c>
      <c r="H16" s="27">
        <f>'Raw Data'!H20</f>
        <v>2.8000000000000001E-2</v>
      </c>
      <c r="I16" s="27">
        <f>'Raw Data'!I20</f>
        <v>2.8000000000000001E-2</v>
      </c>
      <c r="J16" s="27">
        <f>'Raw Data'!J20</f>
        <v>2.8000000000000001E-2</v>
      </c>
      <c r="K16" s="27">
        <f>'Raw Data'!K20</f>
        <v>2.7E-2</v>
      </c>
      <c r="L16" s="27">
        <f>'Raw Data'!L20</f>
        <v>2.5999999999999999E-2</v>
      </c>
      <c r="M16" s="27">
        <f>'Raw Data'!M20</f>
        <v>2.5000000000000001E-2</v>
      </c>
      <c r="N16" s="27">
        <f>'Raw Data'!N20</f>
        <v>2.5000000000000001E-2</v>
      </c>
    </row>
    <row r="17" spans="1:15" ht="15.6">
      <c r="A17" s="57" t="s">
        <v>27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5" ht="15.6">
      <c r="A18" s="25"/>
      <c r="B18" s="25" t="s">
        <v>12</v>
      </c>
      <c r="C18" s="28" t="s">
        <v>23</v>
      </c>
      <c r="D18" s="27">
        <f>IFERROR(('Raw Data'!D14-'Raw Data'!C14)/'Raw Data'!C14,0)</f>
        <v>3.5714285714285712E-2</v>
      </c>
      <c r="E18" s="27">
        <f>IFERROR(('Raw Data'!E14-'Raw Data'!D14)/'Raw Data'!D14,0)</f>
        <v>3.4482758620689655E-2</v>
      </c>
      <c r="F18" s="27">
        <f>IFERROR(('Raw Data'!F14-'Raw Data'!E14)/'Raw Data'!E14,0)</f>
        <v>4.4444444444444446E-2</v>
      </c>
      <c r="G18" s="27">
        <f>IFERROR(('Raw Data'!G14-'Raw Data'!F14)/'Raw Data'!F14,0)</f>
        <v>4.2553191489361701E-2</v>
      </c>
      <c r="H18" s="27">
        <f>IFERROR(('Raw Data'!H14-'Raw Data'!G14)/'Raw Data'!G14,0)</f>
        <v>4.0816326530612242E-2</v>
      </c>
      <c r="I18" s="27">
        <f>IFERROR(('Raw Data'!I14-'Raw Data'!H14)/'Raw Data'!H14,0)</f>
        <v>4.9019607843137254E-2</v>
      </c>
      <c r="J18" s="27">
        <f>IFERROR(('Raw Data'!J14-'Raw Data'!I14)/'Raw Data'!I14,0)</f>
        <v>4.6728971962616821E-2</v>
      </c>
      <c r="K18" s="27">
        <f>IFERROR(('Raw Data'!K14-'Raw Data'!J14)/'Raw Data'!J14,0)</f>
        <v>4.4642857142857144E-2</v>
      </c>
      <c r="L18" s="27">
        <f>IFERROR(('Raw Data'!L14-'Raw Data'!K14)/'Raw Data'!K14,0)</f>
        <v>4.2735042735042736E-2</v>
      </c>
      <c r="M18" s="27">
        <f>IFERROR(('Raw Data'!M14-'Raw Data'!L14)/'Raw Data'!L14,0)</f>
        <v>4.9180327868852458E-2</v>
      </c>
      <c r="N18" s="27">
        <f>IFERROR(('Raw Data'!N14-'Raw Data'!M14)/'Raw Data'!M14,0)</f>
        <v>4.6875E-2</v>
      </c>
      <c r="O18" s="7"/>
    </row>
    <row r="19" spans="1:15" ht="15.6">
      <c r="A19" s="25"/>
      <c r="B19" s="25" t="s">
        <v>18</v>
      </c>
      <c r="C19" s="28" t="s">
        <v>23</v>
      </c>
      <c r="D19" s="27">
        <f>IFERROR(('Raw Data'!D15-'Raw Data'!C15)/'Raw Data'!C15,0)</f>
        <v>3.783783783783784E-2</v>
      </c>
      <c r="E19" s="27">
        <f>IFERROR(('Raw Data'!E15-'Raw Data'!D15)/'Raw Data'!D15,0)</f>
        <v>4.1666666666666664E-2</v>
      </c>
      <c r="F19" s="27">
        <f>IFERROR(('Raw Data'!F15-'Raw Data'!E15)/'Raw Data'!E15,0)</f>
        <v>0.05</v>
      </c>
      <c r="G19" s="27">
        <f>IFERROR(('Raw Data'!G15-'Raw Data'!F15)/'Raw Data'!F15,0)</f>
        <v>4.7619047619047616E-2</v>
      </c>
      <c r="H19" s="27">
        <f>IFERROR(('Raw Data'!H15-'Raw Data'!G15)/'Raw Data'!G15,0)</f>
        <v>4.5454545454545456E-2</v>
      </c>
      <c r="I19" s="27">
        <f>IFERROR(('Raw Data'!I15-'Raw Data'!H15)/'Raw Data'!H15,0)</f>
        <v>5.2173913043478258E-2</v>
      </c>
      <c r="J19" s="27">
        <f>IFERROR(('Raw Data'!J15-'Raw Data'!I15)/'Raw Data'!I15,0)</f>
        <v>5.3719008264462811E-2</v>
      </c>
      <c r="K19" s="27">
        <f>IFERROR(('Raw Data'!K15-'Raw Data'!J15)/'Raw Data'!J15,0)</f>
        <v>5.0980392156862744E-2</v>
      </c>
      <c r="L19" s="27">
        <f>IFERROR(('Raw Data'!L15-'Raw Data'!K15)/'Raw Data'!K15,0)</f>
        <v>5.2238805970149252E-2</v>
      </c>
      <c r="M19" s="27">
        <f>IFERROR(('Raw Data'!M15-'Raw Data'!L15)/'Raw Data'!L15,0)</f>
        <v>5.3191489361702128E-2</v>
      </c>
      <c r="N19" s="27">
        <f>IFERROR(('Raw Data'!N15-'Raw Data'!M15)/'Raw Data'!M15,0)</f>
        <v>5.387205387205387E-2</v>
      </c>
      <c r="O19" s="7"/>
    </row>
    <row r="20" spans="1:15" ht="15.6">
      <c r="A20" s="25"/>
      <c r="B20" s="25" t="s">
        <v>19</v>
      </c>
      <c r="C20" s="28" t="s">
        <v>23</v>
      </c>
      <c r="D20" s="27">
        <f>IFERROR(('Raw Data'!D16-'Raw Data'!C16)/'Raw Data'!C16,0)</f>
        <v>3.0612244897959183E-2</v>
      </c>
      <c r="E20" s="27">
        <f>IFERROR(('Raw Data'!E16-'Raw Data'!D16)/'Raw Data'!D16,0)</f>
        <v>3.9603960396039604E-2</v>
      </c>
      <c r="F20" s="27">
        <f>IFERROR(('Raw Data'!F16-'Raw Data'!E16)/'Raw Data'!E16,0)</f>
        <v>4.7619047619047616E-2</v>
      </c>
      <c r="G20" s="27">
        <f>IFERROR(('Raw Data'!G16-'Raw Data'!F16)/'Raw Data'!F16,0)</f>
        <v>5.4545454545454543E-2</v>
      </c>
      <c r="H20" s="27">
        <f>IFERROR(('Raw Data'!H16-'Raw Data'!G16)/'Raw Data'!G16,0)</f>
        <v>5.1724137931034482E-2</v>
      </c>
      <c r="I20" s="27">
        <f>IFERROR(('Raw Data'!I16-'Raw Data'!H16)/'Raw Data'!H16,0)</f>
        <v>5.737704918032787E-2</v>
      </c>
      <c r="J20" s="27">
        <f>IFERROR(('Raw Data'!J16-'Raw Data'!I16)/'Raw Data'!I16,0)</f>
        <v>5.4263565891472867E-2</v>
      </c>
      <c r="K20" s="27">
        <f>IFERROR(('Raw Data'!K16-'Raw Data'!J16)/'Raw Data'!J16,0)</f>
        <v>5.8823529411764705E-2</v>
      </c>
      <c r="L20" s="27">
        <f>IFERROR(('Raw Data'!L16-'Raw Data'!K16)/'Raw Data'!K16,0)</f>
        <v>5.5555555555555552E-2</v>
      </c>
      <c r="M20" s="27">
        <f>IFERROR(('Raw Data'!M16-'Raw Data'!L16)/'Raw Data'!L16,0)</f>
        <v>5.921052631578947E-2</v>
      </c>
      <c r="N20" s="27">
        <f>IFERROR(('Raw Data'!N16-'Raw Data'!M16)/'Raw Data'!M16,0)</f>
        <v>5.5900621118012424E-2</v>
      </c>
      <c r="O20" s="7"/>
    </row>
    <row r="21" spans="1:15" ht="15.6">
      <c r="A21" s="59" t="s">
        <v>28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5" ht="15.6">
      <c r="A22" s="25"/>
      <c r="B22" s="25" t="s">
        <v>12</v>
      </c>
      <c r="C22" s="29">
        <f>IFERROR('Raw Data'!C4/'Raw Data'!C14,0)</f>
        <v>1.9523809523809523</v>
      </c>
      <c r="D22" s="29">
        <f>IFERROR('Raw Data'!D4/'Raw Data'!D14,0)</f>
        <v>1.9425287356321839</v>
      </c>
      <c r="E22" s="29">
        <f>IFERROR('Raw Data'!E4/'Raw Data'!E14,0)</f>
        <v>1.9333333333333333</v>
      </c>
      <c r="F22" s="29">
        <f>IFERROR('Raw Data'!F4/'Raw Data'!F14,0)</f>
        <v>1.9361702127659575</v>
      </c>
      <c r="G22" s="29">
        <f>IFERROR('Raw Data'!G4/'Raw Data'!G14,0)</f>
        <v>1.9183673469387754</v>
      </c>
      <c r="H22" s="29">
        <f>IFERROR('Raw Data'!H4/'Raw Data'!H14,0)</f>
        <v>1.9215686274509804</v>
      </c>
      <c r="I22" s="29">
        <f>IFERROR('Raw Data'!I4/'Raw Data'!I14,0)</f>
        <v>1.9065420560747663</v>
      </c>
      <c r="J22" s="29">
        <f>IFERROR('Raw Data'!J4/'Raw Data'!J14,0)</f>
        <v>1.8928571428571428</v>
      </c>
      <c r="K22" s="29">
        <f>IFERROR('Raw Data'!K4/'Raw Data'!K14,0)</f>
        <v>1.8803418803418803</v>
      </c>
      <c r="L22" s="29">
        <f>IFERROR('Raw Data'!L4/'Raw Data'!L14,0)</f>
        <v>1.8688524590163935</v>
      </c>
      <c r="M22" s="29">
        <f>IFERROR('Raw Data'!M4/'Raw Data'!M14,0)</f>
        <v>1.859375</v>
      </c>
      <c r="N22" s="29">
        <f>IFERROR('Raw Data'!N4/'Raw Data'!N14,0)</f>
        <v>1.8507462686567164</v>
      </c>
    </row>
    <row r="23" spans="1:15" ht="15.6">
      <c r="A23" s="25"/>
      <c r="B23" s="25" t="s">
        <v>18</v>
      </c>
      <c r="C23" s="29">
        <f>IFERROR('Raw Data'!C5/'Raw Data'!C15,0)</f>
        <v>1.6756756756756757</v>
      </c>
      <c r="D23" s="29">
        <f>IFERROR('Raw Data'!D5/'Raw Data'!D15,0)</f>
        <v>1.6666666666666667</v>
      </c>
      <c r="E23" s="29">
        <f>IFERROR('Raw Data'!E5/'Raw Data'!E15,0)</f>
        <v>1.675</v>
      </c>
      <c r="F23" s="29">
        <f>IFERROR('Raw Data'!F5/'Raw Data'!F15,0)</f>
        <v>1.6666666666666667</v>
      </c>
      <c r="G23" s="29">
        <f>IFERROR('Raw Data'!G5/'Raw Data'!G15,0)</f>
        <v>1.6590909090909092</v>
      </c>
      <c r="H23" s="29">
        <f>IFERROR('Raw Data'!H5/'Raw Data'!H15,0)</f>
        <v>1.6521739130434783</v>
      </c>
      <c r="I23" s="29">
        <f>IFERROR('Raw Data'!I5/'Raw Data'!I15,0)</f>
        <v>1.6322314049586777</v>
      </c>
      <c r="J23" s="29">
        <f>IFERROR('Raw Data'!J5/'Raw Data'!J15,0)</f>
        <v>1.607843137254902</v>
      </c>
      <c r="K23" s="29">
        <f>IFERROR('Raw Data'!K5/'Raw Data'!K15,0)</f>
        <v>1.6044776119402986</v>
      </c>
      <c r="L23" s="29">
        <f>IFERROR('Raw Data'!L5/'Raw Data'!L15,0)</f>
        <v>1.5957446808510638</v>
      </c>
      <c r="M23" s="29">
        <f>IFERROR('Raw Data'!M5/'Raw Data'!M15,0)</f>
        <v>1.5824915824915824</v>
      </c>
      <c r="N23" s="29">
        <f>IFERROR('Raw Data'!N5/'Raw Data'!N15,0)</f>
        <v>1.5654952076677315</v>
      </c>
    </row>
    <row r="24" spans="1:15" ht="15.6">
      <c r="A24" s="25"/>
      <c r="B24" s="25" t="s">
        <v>19</v>
      </c>
      <c r="C24" s="29">
        <f>IFERROR('Raw Data'!C6/'Raw Data'!C16,0)</f>
        <v>1.8367346938775511</v>
      </c>
      <c r="D24" s="29">
        <f>IFERROR('Raw Data'!D6/'Raw Data'!D16,0)</f>
        <v>1.8316831683168318</v>
      </c>
      <c r="E24" s="29">
        <f>IFERROR('Raw Data'!E6/'Raw Data'!E16,0)</f>
        <v>1.9047619047619047</v>
      </c>
      <c r="F24" s="29">
        <f>IFERROR('Raw Data'!F6/'Raw Data'!F16,0)</f>
        <v>1.8181818181818181</v>
      </c>
      <c r="G24" s="29">
        <f>IFERROR('Raw Data'!G6/'Raw Data'!G16,0)</f>
        <v>1.8103448275862069</v>
      </c>
      <c r="H24" s="29">
        <f>IFERROR('Raw Data'!H6/'Raw Data'!H16,0)</f>
        <v>1.8032786885245902</v>
      </c>
      <c r="I24" s="29">
        <f>IFERROR('Raw Data'!I6/'Raw Data'!I16,0)</f>
        <v>1.7829457364341086</v>
      </c>
      <c r="J24" s="29">
        <f>IFERROR('Raw Data'!J6/'Raw Data'!J16,0)</f>
        <v>1.7647058823529411</v>
      </c>
      <c r="K24" s="29">
        <f>IFERROR('Raw Data'!K6/'Raw Data'!K16,0)</f>
        <v>1.7361111111111112</v>
      </c>
      <c r="L24" s="29">
        <f>IFERROR('Raw Data'!L6/'Raw Data'!L16,0)</f>
        <v>1.7105263157894737</v>
      </c>
      <c r="M24" s="29">
        <f>IFERROR('Raw Data'!M6/'Raw Data'!M16,0)</f>
        <v>1.6770186335403727</v>
      </c>
      <c r="N24" s="29">
        <f>IFERROR('Raw Data'!N6/'Raw Data'!N16,0)</f>
        <v>1.6764705882352942</v>
      </c>
    </row>
  </sheetData>
  <mergeCells count="6">
    <mergeCell ref="A21:N21"/>
    <mergeCell ref="A1:N1"/>
    <mergeCell ref="A3:N3"/>
    <mergeCell ref="A8:N8"/>
    <mergeCell ref="A13:N13"/>
    <mergeCell ref="A17:N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61E7-1463-4370-9C87-3CACA2263449}">
  <dimension ref="A1:H25"/>
  <sheetViews>
    <sheetView workbookViewId="0">
      <selection activeCell="K17" sqref="K17"/>
    </sheetView>
  </sheetViews>
  <sheetFormatPr defaultRowHeight="14.4"/>
  <cols>
    <col min="1" max="1" width="34.21875" customWidth="1"/>
    <col min="2" max="2" width="39.21875" customWidth="1"/>
    <col min="3" max="3" width="18.33203125" customWidth="1"/>
    <col min="4" max="4" width="21" customWidth="1"/>
    <col min="5" max="5" width="17.77734375" customWidth="1"/>
    <col min="6" max="6" width="29.88671875" customWidth="1"/>
    <col min="7" max="7" width="0.33203125" customWidth="1"/>
    <col min="8" max="8" width="16.21875" hidden="1" customWidth="1"/>
  </cols>
  <sheetData>
    <row r="1" spans="1:8" ht="30" customHeight="1">
      <c r="A1" s="61" t="s">
        <v>29</v>
      </c>
      <c r="B1" s="61"/>
      <c r="C1" s="61"/>
      <c r="D1" s="61"/>
      <c r="E1" s="61"/>
      <c r="F1" s="61"/>
      <c r="G1" s="61"/>
      <c r="H1" s="61"/>
    </row>
    <row r="2" spans="1:8" ht="20.399999999999999" customHeight="1">
      <c r="A2" s="62" t="s">
        <v>30</v>
      </c>
      <c r="B2" s="62"/>
      <c r="C2" s="62"/>
      <c r="D2" s="62"/>
      <c r="E2" s="62"/>
      <c r="F2" s="62"/>
      <c r="G2" s="62"/>
      <c r="H2" s="62"/>
    </row>
    <row r="3" spans="1:8" ht="1.8" customHeight="1"/>
    <row r="4" spans="1:8" ht="15.6" customHeight="1">
      <c r="A4" s="57" t="s">
        <v>34</v>
      </c>
      <c r="B4" s="57"/>
      <c r="C4" s="57"/>
      <c r="D4" s="57"/>
      <c r="E4" s="57"/>
      <c r="F4" s="57"/>
      <c r="G4" s="57"/>
      <c r="H4" s="57"/>
    </row>
    <row r="5" spans="1:8" ht="15.6">
      <c r="A5" s="11" t="s">
        <v>41</v>
      </c>
      <c r="B5" s="8">
        <v>0.04</v>
      </c>
    </row>
    <row r="6" spans="1:8" ht="15.6">
      <c r="A6" s="11" t="s">
        <v>35</v>
      </c>
      <c r="B6" s="8">
        <v>4.2000000000000003E-2</v>
      </c>
    </row>
    <row r="7" spans="1:8" ht="15.6">
      <c r="A7" s="11" t="s">
        <v>36</v>
      </c>
      <c r="B7" s="8">
        <v>0.05</v>
      </c>
    </row>
    <row r="8" spans="1:8" ht="15.6">
      <c r="A8" s="11" t="s">
        <v>37</v>
      </c>
      <c r="B8" s="8">
        <v>2.5000000000000001E-2</v>
      </c>
    </row>
    <row r="9" spans="1:8" ht="15.6">
      <c r="A9" s="11" t="s">
        <v>38</v>
      </c>
      <c r="B9" s="8">
        <v>4.4999999999999998E-2</v>
      </c>
    </row>
    <row r="10" spans="1:8" ht="15.6">
      <c r="A10" s="11" t="s">
        <v>39</v>
      </c>
      <c r="B10" s="8">
        <v>0.05</v>
      </c>
    </row>
    <row r="11" spans="1:8" ht="15.6">
      <c r="A11" s="11" t="s">
        <v>40</v>
      </c>
      <c r="B11" s="8">
        <v>5.5E-2</v>
      </c>
    </row>
    <row r="13" spans="1:8" ht="15.6">
      <c r="A13" s="63" t="s">
        <v>43</v>
      </c>
      <c r="B13" s="63"/>
      <c r="C13" s="63"/>
      <c r="D13" s="63"/>
      <c r="E13" s="63"/>
      <c r="F13" s="63"/>
    </row>
    <row r="14" spans="1:8" ht="15.6">
      <c r="A14" s="9" t="s">
        <v>2</v>
      </c>
      <c r="B14" s="9" t="s">
        <v>1</v>
      </c>
      <c r="C14" s="9" t="s">
        <v>42</v>
      </c>
      <c r="D14" s="9" t="s">
        <v>32</v>
      </c>
      <c r="E14" s="9" t="s">
        <v>31</v>
      </c>
      <c r="F14" s="9" t="s">
        <v>33</v>
      </c>
    </row>
    <row r="15" spans="1:8" ht="15.6">
      <c r="A15" s="60" t="s">
        <v>12</v>
      </c>
      <c r="B15" s="11" t="s">
        <v>44</v>
      </c>
      <c r="C15" s="11">
        <f>'Raw Data'!K4</f>
        <v>11000</v>
      </c>
      <c r="D15" s="11">
        <f>C15*(1+$B$5)</f>
        <v>11440</v>
      </c>
      <c r="E15" s="20">
        <f>D15*(1+$B$5)</f>
        <v>11897.6</v>
      </c>
      <c r="F15" s="20">
        <f>E15*(1+$B$5)</f>
        <v>12373.504000000001</v>
      </c>
    </row>
    <row r="16" spans="1:8" ht="15.6">
      <c r="A16" s="60"/>
      <c r="B16" s="11" t="s">
        <v>45</v>
      </c>
      <c r="C16" s="11">
        <f>'Raw Data'!K9</f>
        <v>6500</v>
      </c>
      <c r="D16" s="20">
        <f>C16*(1+$B$8)</f>
        <v>6662.4999999999991</v>
      </c>
      <c r="E16" s="20">
        <f>D16*(1+$B$8)</f>
        <v>6829.0624999999982</v>
      </c>
      <c r="F16" s="20">
        <f>E16*(1+$B$8)</f>
        <v>6999.7890624999973</v>
      </c>
    </row>
    <row r="17" spans="1:6" ht="15.6">
      <c r="A17" s="60"/>
      <c r="B17" s="21" t="s">
        <v>46</v>
      </c>
      <c r="C17" s="21">
        <f>C15-C16</f>
        <v>4500</v>
      </c>
      <c r="D17" s="22">
        <f>D15-D16</f>
        <v>4777.5000000000009</v>
      </c>
      <c r="E17" s="22">
        <f>E15-E16</f>
        <v>5068.5375000000022</v>
      </c>
      <c r="F17" s="22">
        <f>F15-F16</f>
        <v>5373.7149375000035</v>
      </c>
    </row>
    <row r="18" spans="1:6" ht="15.6">
      <c r="B18" s="11"/>
      <c r="C18" s="11"/>
      <c r="D18" s="20"/>
      <c r="E18" s="20"/>
      <c r="F18" s="20"/>
    </row>
    <row r="19" spans="1:6" ht="15.6">
      <c r="A19" s="60" t="s">
        <v>18</v>
      </c>
      <c r="B19" s="11" t="s">
        <v>44</v>
      </c>
      <c r="C19" s="11">
        <f>'Raw Data'!K5</f>
        <v>4300</v>
      </c>
      <c r="D19" s="20">
        <f>C19*(1+$B$6)</f>
        <v>4480.6000000000004</v>
      </c>
      <c r="E19" s="20">
        <f>D19*(1+$B$6)</f>
        <v>4668.7852000000003</v>
      </c>
      <c r="F19" s="20">
        <f>E19*(1+$B$6)</f>
        <v>4864.8741784000003</v>
      </c>
    </row>
    <row r="20" spans="1:6" ht="15.6">
      <c r="A20" s="60"/>
      <c r="B20" s="11" t="s">
        <v>45</v>
      </c>
      <c r="C20" s="11">
        <f>'Raw Data'!K10</f>
        <v>2700</v>
      </c>
      <c r="D20" s="20">
        <f>C20*(1+$B$8)</f>
        <v>2767.4999999999995</v>
      </c>
      <c r="E20" s="20">
        <f>D20*(1+$B$8)</f>
        <v>2836.6874999999991</v>
      </c>
      <c r="F20" s="20">
        <f>E20*(1+$B$8)</f>
        <v>2907.6046874999988</v>
      </c>
    </row>
    <row r="21" spans="1:6" ht="15.6">
      <c r="A21" s="60"/>
      <c r="B21" s="21" t="s">
        <v>46</v>
      </c>
      <c r="C21" s="21">
        <f>C19-C20</f>
        <v>1600</v>
      </c>
      <c r="D21" s="22">
        <f>D19-D20</f>
        <v>1713.1000000000008</v>
      </c>
      <c r="E21" s="22">
        <f>E19-E20</f>
        <v>1832.0977000000012</v>
      </c>
      <c r="F21" s="22">
        <f>F19-F20</f>
        <v>1957.2694909000015</v>
      </c>
    </row>
    <row r="22" spans="1:6" ht="15.6">
      <c r="A22" s="10"/>
      <c r="B22" s="11"/>
      <c r="C22" s="11"/>
      <c r="D22" s="20"/>
      <c r="E22" s="20"/>
      <c r="F22" s="11"/>
    </row>
    <row r="23" spans="1:6" ht="15.6">
      <c r="A23" s="60" t="s">
        <v>19</v>
      </c>
      <c r="B23" s="11" t="s">
        <v>44</v>
      </c>
      <c r="C23" s="11">
        <f>'Raw Data'!K6</f>
        <v>2500</v>
      </c>
      <c r="D23" s="20">
        <f>C23*(1+$B$7)</f>
        <v>2625</v>
      </c>
      <c r="E23" s="20">
        <f>D23*(1+$B$7)</f>
        <v>2756.25</v>
      </c>
      <c r="F23" s="20">
        <f>E23*(1+$B$7)</f>
        <v>2894.0625</v>
      </c>
    </row>
    <row r="24" spans="1:6" ht="15.6">
      <c r="A24" s="60"/>
      <c r="B24" s="11" t="s">
        <v>45</v>
      </c>
      <c r="C24" s="11">
        <f>'Raw Data'!K11</f>
        <v>1650</v>
      </c>
      <c r="D24" s="20">
        <f>C24*(1+$B$8)</f>
        <v>1691.2499999999998</v>
      </c>
      <c r="E24" s="20">
        <f>D24*(1+$B$8)</f>
        <v>1733.5312499999995</v>
      </c>
      <c r="F24" s="20">
        <f>E24*(1+$B$8)</f>
        <v>1776.8695312499995</v>
      </c>
    </row>
    <row r="25" spans="1:6" ht="15.6">
      <c r="A25" s="60"/>
      <c r="B25" s="21" t="s">
        <v>46</v>
      </c>
      <c r="C25" s="21">
        <f>C23-C24</f>
        <v>850</v>
      </c>
      <c r="D25" s="22">
        <f>D23-D24</f>
        <v>933.75000000000023</v>
      </c>
      <c r="E25" s="22">
        <f>E23-E24</f>
        <v>1022.7187500000005</v>
      </c>
      <c r="F25" s="22">
        <f>F23-F24</f>
        <v>1117.1929687500005</v>
      </c>
    </row>
  </sheetData>
  <mergeCells count="7">
    <mergeCell ref="A19:A21"/>
    <mergeCell ref="A23:A25"/>
    <mergeCell ref="A1:H1"/>
    <mergeCell ref="A2:H2"/>
    <mergeCell ref="A4:H4"/>
    <mergeCell ref="A13:F13"/>
    <mergeCell ref="A15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F32-807A-43AF-9F0D-3FF479778C45}">
  <dimension ref="A1:H30"/>
  <sheetViews>
    <sheetView tabSelected="1" workbookViewId="0">
      <selection activeCell="D31" sqref="D31"/>
    </sheetView>
  </sheetViews>
  <sheetFormatPr defaultRowHeight="14.4"/>
  <cols>
    <col min="1" max="1" width="25.88671875" customWidth="1"/>
    <col min="2" max="2" width="36.5546875" customWidth="1"/>
    <col min="3" max="3" width="39.21875" customWidth="1"/>
    <col min="4" max="4" width="35.6640625" customWidth="1"/>
    <col min="5" max="5" width="68.5546875" customWidth="1"/>
    <col min="6" max="6" width="8.77734375" customWidth="1"/>
    <col min="7" max="8" width="4.44140625" customWidth="1"/>
  </cols>
  <sheetData>
    <row r="1" spans="1:8" ht="18">
      <c r="A1" s="43" t="s">
        <v>47</v>
      </c>
      <c r="B1" s="43"/>
      <c r="C1" s="43"/>
      <c r="D1" s="43"/>
      <c r="E1" s="43"/>
      <c r="F1" s="43"/>
      <c r="G1" s="43"/>
      <c r="H1" s="43"/>
    </row>
    <row r="2" spans="1:8" ht="15.6">
      <c r="A2" s="44" t="s">
        <v>48</v>
      </c>
      <c r="B2" s="44"/>
      <c r="C2" s="44"/>
      <c r="D2" s="44"/>
      <c r="E2" s="44"/>
    </row>
    <row r="4" spans="1:8" ht="18">
      <c r="A4" s="45" t="s">
        <v>49</v>
      </c>
      <c r="B4" s="45"/>
      <c r="C4" s="45"/>
      <c r="D4" s="45"/>
      <c r="E4" s="45"/>
    </row>
    <row r="5" spans="1:8" ht="15.6">
      <c r="A5" s="16" t="s">
        <v>1</v>
      </c>
      <c r="B5" s="16" t="s">
        <v>12</v>
      </c>
      <c r="C5" s="16" t="s">
        <v>18</v>
      </c>
      <c r="D5" s="16" t="s">
        <v>19</v>
      </c>
      <c r="E5" s="16" t="s">
        <v>24</v>
      </c>
    </row>
    <row r="6" spans="1:8" ht="15.6">
      <c r="A6" s="11" t="s">
        <v>50</v>
      </c>
      <c r="B6" s="12">
        <f>'Raw Data'!K4</f>
        <v>11000</v>
      </c>
      <c r="C6" s="13">
        <f>'Raw Data'!K5</f>
        <v>4300</v>
      </c>
      <c r="D6" s="12">
        <f>'Raw Data'!K6</f>
        <v>2500</v>
      </c>
      <c r="E6" s="12">
        <f>B6+C6+D6</f>
        <v>17800</v>
      </c>
    </row>
    <row r="7" spans="1:8" ht="15.6">
      <c r="A7" s="11" t="s">
        <v>51</v>
      </c>
      <c r="B7" s="12">
        <f>'Raw Data'!K9</f>
        <v>6500</v>
      </c>
      <c r="C7" s="12">
        <f>'Raw Data'!K10</f>
        <v>2700</v>
      </c>
      <c r="D7" s="12">
        <f>'Raw Data'!K11</f>
        <v>1650</v>
      </c>
      <c r="E7" s="12">
        <f>B7+C7+D7</f>
        <v>10850</v>
      </c>
    </row>
    <row r="8" spans="1:8" ht="15.6">
      <c r="A8" s="14" t="s">
        <v>52</v>
      </c>
      <c r="B8" s="14">
        <f>B6-B7</f>
        <v>4500</v>
      </c>
      <c r="C8" s="14">
        <f>C6-C7</f>
        <v>1600</v>
      </c>
      <c r="D8" s="14">
        <f>D6-D7</f>
        <v>850</v>
      </c>
      <c r="E8" s="14">
        <f>E6-E7</f>
        <v>6950</v>
      </c>
    </row>
    <row r="9" spans="1:8" ht="15.6">
      <c r="A9" s="11" t="s">
        <v>53</v>
      </c>
      <c r="B9" s="15">
        <f>IFERROR(B8/B6,0)</f>
        <v>0.40909090909090912</v>
      </c>
      <c r="C9" s="15">
        <f>IFERROR(C8/C6,0)</f>
        <v>0.37209302325581395</v>
      </c>
      <c r="D9" s="15">
        <f>IFERROR(D8/D6,0)</f>
        <v>0.34</v>
      </c>
      <c r="E9" s="15">
        <f>IFERROR(E8/E6,0)</f>
        <v>0.3904494382022472</v>
      </c>
    </row>
    <row r="11" spans="1:8" ht="18">
      <c r="A11" s="46" t="s">
        <v>54</v>
      </c>
      <c r="B11" s="46"/>
      <c r="C11" s="46"/>
      <c r="D11" s="46"/>
      <c r="E11" s="46"/>
    </row>
    <row r="12" spans="1:8" ht="15.6">
      <c r="A12" s="16" t="s">
        <v>55</v>
      </c>
      <c r="B12" s="16" t="s">
        <v>12</v>
      </c>
      <c r="C12" s="16" t="s">
        <v>18</v>
      </c>
      <c r="D12" s="16" t="s">
        <v>19</v>
      </c>
      <c r="E12" s="16" t="s">
        <v>61</v>
      </c>
    </row>
    <row r="13" spans="1:8" ht="15.6">
      <c r="A13" s="11" t="s">
        <v>56</v>
      </c>
      <c r="B13" s="15">
        <f>'KPI Dashboard'!K4</f>
        <v>3.7735849056603772E-2</v>
      </c>
      <c r="C13" s="15">
        <f>'KPI Dashboard'!K5</f>
        <v>4.878048780487805E-2</v>
      </c>
      <c r="D13" s="15">
        <f>'KPI Dashboard'!K6</f>
        <v>4.1666666666666664E-2</v>
      </c>
      <c r="E13" s="17">
        <v>0.03</v>
      </c>
    </row>
    <row r="14" spans="1:8" ht="15.6">
      <c r="A14" s="11" t="s">
        <v>57</v>
      </c>
      <c r="B14" s="15">
        <f>'KPI Dashboard'!K9</f>
        <v>0.59090909090909094</v>
      </c>
      <c r="C14" s="15">
        <f>'KPI Dashboard'!K10</f>
        <v>0.62790697674418605</v>
      </c>
      <c r="D14" s="15">
        <f>'KPI Dashboard'!K11</f>
        <v>0.66</v>
      </c>
      <c r="E14" s="18">
        <v>0.65</v>
      </c>
    </row>
    <row r="15" spans="1:8" ht="15.6">
      <c r="A15" s="11" t="s">
        <v>59</v>
      </c>
      <c r="B15" s="15">
        <f>'KPI Dashboard'!K14</f>
        <v>1.9E-2</v>
      </c>
      <c r="C15" s="15">
        <f>'KPI Dashboard'!K15</f>
        <v>2.3E-2</v>
      </c>
      <c r="D15" s="15">
        <f>'KPI Dashboard'!K16</f>
        <v>2.7E-2</v>
      </c>
      <c r="E15" s="17">
        <v>0.03</v>
      </c>
    </row>
    <row r="16" spans="1:8" ht="15.6">
      <c r="A16" s="11" t="s">
        <v>58</v>
      </c>
      <c r="B16" s="11">
        <f>'Raw Data'!K14</f>
        <v>5850</v>
      </c>
      <c r="C16" s="11">
        <f>'Raw Data'!K15</f>
        <v>2680</v>
      </c>
      <c r="D16" s="11">
        <f>'Raw Data'!K16</f>
        <v>1440</v>
      </c>
      <c r="E16" s="19" t="s">
        <v>60</v>
      </c>
    </row>
    <row r="18" spans="1:5" ht="18">
      <c r="A18" s="47" t="s">
        <v>62</v>
      </c>
      <c r="B18" s="48"/>
      <c r="C18" s="48"/>
      <c r="D18" s="48"/>
      <c r="E18" s="48"/>
    </row>
    <row r="19" spans="1:5" ht="15.6">
      <c r="A19" s="11" t="s">
        <v>63</v>
      </c>
      <c r="B19" s="39" t="s">
        <v>64</v>
      </c>
      <c r="C19" s="40"/>
      <c r="D19" s="40"/>
      <c r="E19" s="40"/>
    </row>
    <row r="20" spans="1:5" ht="15.6">
      <c r="A20" s="11" t="s">
        <v>65</v>
      </c>
      <c r="B20" s="41" t="s">
        <v>66</v>
      </c>
      <c r="C20" s="41"/>
      <c r="D20" s="41"/>
      <c r="E20" s="41"/>
    </row>
    <row r="21" spans="1:5" ht="15.6">
      <c r="A21" s="11" t="s">
        <v>67</v>
      </c>
      <c r="B21" s="39" t="s">
        <v>68</v>
      </c>
      <c r="C21" s="39"/>
      <c r="D21" s="39"/>
      <c r="E21" s="39"/>
    </row>
    <row r="22" spans="1:5" ht="15.6">
      <c r="A22" s="11" t="s">
        <v>69</v>
      </c>
      <c r="B22" s="39" t="s">
        <v>70</v>
      </c>
      <c r="C22" s="39"/>
      <c r="D22" s="39"/>
      <c r="E22" s="39"/>
    </row>
    <row r="23" spans="1:5" ht="15.6">
      <c r="A23" s="11" t="s">
        <v>71</v>
      </c>
      <c r="B23" s="42" t="s">
        <v>72</v>
      </c>
      <c r="C23" s="42"/>
      <c r="D23" s="42"/>
      <c r="E23" s="42"/>
    </row>
    <row r="25" spans="1:5" ht="18">
      <c r="A25" s="37" t="s">
        <v>73</v>
      </c>
      <c r="B25" s="37"/>
      <c r="C25" s="37"/>
      <c r="D25" s="37"/>
      <c r="E25" s="37"/>
    </row>
    <row r="26" spans="1:5" ht="15.6">
      <c r="A26" s="24" t="s">
        <v>74</v>
      </c>
      <c r="B26" s="16" t="s">
        <v>75</v>
      </c>
      <c r="C26" s="38"/>
      <c r="D26" s="38"/>
      <c r="E26" s="16" t="s">
        <v>76</v>
      </c>
    </row>
    <row r="27" spans="1:5" ht="15.6">
      <c r="A27" s="23" t="s">
        <v>77</v>
      </c>
      <c r="B27" s="39" t="s">
        <v>81</v>
      </c>
      <c r="C27" s="39"/>
      <c r="D27" s="39"/>
      <c r="E27" s="12" t="s">
        <v>86</v>
      </c>
    </row>
    <row r="28" spans="1:5" ht="15.6">
      <c r="A28" s="23" t="s">
        <v>78</v>
      </c>
      <c r="B28" s="39" t="s">
        <v>82</v>
      </c>
      <c r="C28" s="39"/>
      <c r="D28" s="39"/>
      <c r="E28" s="12" t="s">
        <v>85</v>
      </c>
    </row>
    <row r="29" spans="1:5" ht="15.6">
      <c r="A29" s="23" t="s">
        <v>79</v>
      </c>
      <c r="B29" s="39" t="s">
        <v>83</v>
      </c>
      <c r="C29" s="39"/>
      <c r="D29" s="39"/>
      <c r="E29" s="12" t="s">
        <v>87</v>
      </c>
    </row>
    <row r="30" spans="1:5" ht="15.6">
      <c r="A30" s="23" t="s">
        <v>80</v>
      </c>
      <c r="B30" s="39" t="s">
        <v>84</v>
      </c>
      <c r="C30" s="39"/>
      <c r="D30" s="39"/>
      <c r="E30" s="12" t="s">
        <v>88</v>
      </c>
    </row>
  </sheetData>
  <mergeCells count="16">
    <mergeCell ref="A1:H1"/>
    <mergeCell ref="A2:E2"/>
    <mergeCell ref="A4:E4"/>
    <mergeCell ref="A11:E11"/>
    <mergeCell ref="A18:E18"/>
    <mergeCell ref="B30:D30"/>
    <mergeCell ref="B19:E19"/>
    <mergeCell ref="B20:E20"/>
    <mergeCell ref="B21:E21"/>
    <mergeCell ref="B22:E22"/>
    <mergeCell ref="B23:E23"/>
    <mergeCell ref="A25:E25"/>
    <mergeCell ref="C26:D26"/>
    <mergeCell ref="B27:D27"/>
    <mergeCell ref="B28:D28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Budgets vs Actuals</vt:lpstr>
      <vt:lpstr>KPI Dashboard</vt:lpstr>
      <vt:lpstr>Forecast Model</vt:lpstr>
      <vt:lpstr>Mgmt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kg</dc:creator>
  <cp:lastModifiedBy>nisha kg</cp:lastModifiedBy>
  <dcterms:created xsi:type="dcterms:W3CDTF">2026-06-02T10:13:38Z</dcterms:created>
  <dcterms:modified xsi:type="dcterms:W3CDTF">2026-06-07T07:20:43Z</dcterms:modified>
</cp:coreProperties>
</file>